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D Strategy v2" sheetId="1" state="visible" r:id="rId3"/>
    <sheet name="LinkedIn Setup Guide" sheetId="2" state="visible" r:id="rId4"/>
    <sheet name="Master Target List" sheetId="3" state="visible" r:id="rId5"/>
    <sheet name="LinkedIn Search Plan" sheetId="4" state="visible" r:id="rId6"/>
    <sheet name="InMail Templates" sheetId="5" state="visible" r:id="rId7"/>
    <sheet name="Summary" sheetId="6" state="visible" r:id="rId8"/>
    <sheet name="First-Wave 30" sheetId="7" state="visible" r:id="rId9"/>
    <sheet name="Search Playbook" sheetId="8" state="visible" r:id="rId10"/>
    <sheet name="v1 Strategy" sheetId="9" state="visible" r:id="rId11"/>
    <sheet name="v1 Chinese-Background" sheetId="10" state="visible" r:id="rId12"/>
    <sheet name="v1 AI Governance" sheetId="11" state="visible" r:id="rId13"/>
    <sheet name="v1 Data Engineer" sheetId="12" state="visible" r:id="rId14"/>
  </sheets>
  <definedNames>
    <definedName function="false" hidden="true" localSheetId="3" name="_xlnm._FilterDatabase" vbProcedure="false">'LinkedIn Search Plan'!$A$4:$N$208</definedName>
    <definedName function="false" hidden="true" localSheetId="2" name="_xlnm._FilterDatabase" vbProcedure="false">'Master Target List'!$A$4:$U$226</definedName>
    <definedName function="false" hidden="true" localSheetId="10" name="_xlnm._FilterDatabase" vbProcedure="false">'v1 AI Governance'!$A$3:$G$17</definedName>
    <definedName function="false" hidden="true" localSheetId="9" name="_xlnm._FilterDatabase" vbProcedure="false">'v1 Chinese-Background'!$A$4:$I$44</definedName>
    <definedName function="false" hidden="true" localSheetId="11" name="_xlnm._FilterDatabase" vbProcedure="false">'v1 Data Engineer'!$A$3:$G$17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<sst xmlns="http://schemas.openxmlformats.org/spreadsheetml/2006/main" count="6552" uniqueCount="1792">
  <si>
    <t xml:space="preserve">Singapore Headhunting BD Target List v2 — Data Eng · AI Governance · AI Security · AI Risk · Software Eng</t>
  </si>
  <si>
    <t xml:space="preserve">Expanded Oct 2026 from v1 (original sheets kept at the back unchanged). Company-level research from public sources; no personal data scraped.</t>
  </si>
  <si>
    <t xml:space="preserve">What changed in v2</t>
  </si>
  <si>
    <t xml:space="preserve">• Master list now covers 222 accounts (v1: 60 kept/merged, v2: 79 new, v2.1: 83 added by splitting grouped rows into individual companies), all in one filterable sheet with role flags for 5 directions.</t>
  </si>
  <si>
    <r>
      <rPr>
        <sz val="10"/>
        <rFont val="Arial"/>
        <family val="0"/>
        <charset val="1"/>
      </rPr>
      <t xml:space="preserve">• v2.1: every grouped row (e.g. 'Chinese credit-tech going abroad', Chinese bank branches, quant funds, wallets, robotics, handset makers, IT vendors, MindForge members, public sector) is now one row per company. Each split row says which group it came from in 'v2 Update / Correction'. New finds: Lingjun (</t>
    </r>
    <r>
      <rPr>
        <sz val="10"/>
        <rFont val="WenQuanYi Zen Hei"/>
        <family val="2"/>
      </rPr>
      <t xml:space="preserve">灵均</t>
    </r>
    <r>
      <rPr>
        <sz val="10"/>
        <rFont val="Arial"/>
        <family val="0"/>
        <charset val="1"/>
      </rPr>
      <t xml:space="preserve">) SG office, SUNRATE, TrustDecision (</t>
    </r>
    <r>
      <rPr>
        <sz val="10"/>
        <rFont val="WenQuanYi Zen Hei"/>
        <family val="2"/>
      </rPr>
      <t xml:space="preserve">同盾</t>
    </r>
    <r>
      <rPr>
        <sz val="10"/>
        <rFont val="Arial"/>
        <family val="0"/>
        <charset val="1"/>
      </rPr>
      <t xml:space="preserve">), OneConnect (</t>
    </r>
    <r>
      <rPr>
        <sz val="10"/>
        <rFont val="WenQuanYi Zen Hei"/>
        <family val="2"/>
      </rPr>
      <t xml:space="preserve">金融壹账通</t>
    </r>
    <r>
      <rPr>
        <sz val="10"/>
        <rFont val="Arial"/>
        <family val="0"/>
        <charset val="1"/>
      </rPr>
      <t xml:space="preserve">), Kuaishou's SG unit, PixVerse, China Life SG, DCITS, Sunline, XTransfer's MAS licence.</t>
    </r>
  </si>
  <si>
    <t xml:space="preserve">• Wider definition of 'Chinese-connected' (China Link A–E): not only Chinese-HQ firms, but SG-relocated Chinese startups, Greater-China/diaspora founders, and non-Chinese firms with China-origin tech leaders or TA (type D — verify on LinkedIn).</t>
  </si>
  <si>
    <t xml:space="preserve">• Added AI Security and AI Risk as directions, plus general Software Engineering. Companies are included if a need is plausible, not only if a role is posted today.</t>
  </si>
  <si>
    <r>
      <rPr>
        <sz val="10"/>
        <rFont val="Arial"/>
        <family val="0"/>
        <charset val="1"/>
      </rPr>
      <t xml:space="preserve">• Corrections to v1: PingPong ≠ </t>
    </r>
    <r>
      <rPr>
        <sz val="10"/>
        <rFont val="WenQuanYi Zen Hei"/>
        <family val="2"/>
      </rPr>
      <t xml:space="preserve">连连数字 </t>
    </r>
    <r>
      <rPr>
        <sz val="10"/>
        <rFont val="Arial"/>
        <family val="0"/>
        <charset val="1"/>
      </rPr>
      <t xml:space="preserve">(LianLian is a separate company, added); Binance has no MAS licence and exited SG retail in 2021 (verify roles); Haitong International merged into Guotai Haitong; MiniMax and Zhipu upgraded — SG entities now confirmed.</t>
    </r>
  </si>
  <si>
    <t xml:space="preserve">Why now — new signals since v1</t>
  </si>
  <si>
    <t xml:space="preserve">1. Chinese AI companies keep moving to SG ('Singapore-washing'): Manus (→ Meta), MiroMind/Shanda (AGI research exclusively in SG from Jan 2026), Tabcut, Plaud (APAC HQ opened 16 Sep 2026, 100→150 staff). Beijing is now scrutinising these moves (Manus deal review) — relocating teams face backfill gaps for staff who won't move.</t>
  </si>
  <si>
    <t xml:space="preserve">2. MAS AI Risk Management Guidelines (7 Oct 2026) apply to ALL regulated FIs — including Chinese bank branches, Chinese online brokers (Moomoo/Futu, Tiger), digital banks (ANEXT, Green Link, MariBank, GXS) and crypto/payment licensees. Their China HQs often don't know the requirement → you can bring both the regulation insight and the talent.</t>
  </si>
  <si>
    <t xml:space="preserve">3. Chinese giants are running an AI-talent war in SG (campus recruiting at NUS/NTU by Huawei, Alibaba, ByteDance, Trip.com, MiniMax in 2026) — lateral hiring budgets follow.</t>
  </si>
  <si>
    <t xml:space="preserve">4. AI Security is emerging as a distinct role family in SG (first-hire agent-security roles at startups, AI red-team consultancies, HTX/CSA adversarial-AI roles). Few agencies own this niche yet — your SWE background is credible here.</t>
  </si>
  <si>
    <t xml:space="preserve">5. Fresh funding = hiring bursts: OneByZero US$20M Series A (5 Oct 2026), Ropedia US$22M pre-A, Agnes AI Series A.</t>
  </si>
  <si>
    <t xml:space="preserve">How to use this workbook</t>
  </si>
  <si>
    <t xml:space="preserve">• Start with 'First-Wave 30' — the 30 accounts to call in the next 2-3 weeks, with draft opening lines (Chinese for Chinese-speaking HQ, English for local).</t>
  </si>
  <si>
    <t xml:space="preserve">• 'Master Target List' — filter by role column (● core / ○ possible), China Link, Priority, Confidence. Track progress in the yellow BD Status / Next Step columns; 'Summary' counts update automatically.</t>
  </si>
  <si>
    <t xml:space="preserve">• Rows marked Confidence = 'To verify' need a 10-minute check (LinkedIn jobs, ACRA, company site) before outreach. 'Radar' rows are for quarterly scanning.</t>
  </si>
  <si>
    <t xml:space="preserve">• 'Search Playbook' — boolean strings and filters to find China-origin tech leaders and Chinese-speaking TA (to qualify type-D accounts), and sources to keep finding new Chinese companies.</t>
  </si>
  <si>
    <t xml:space="preserve">Pitch by direction</t>
  </si>
  <si>
    <t xml:space="preserve">AI Risk: lead with the MAS 12-month transition; target licensed Chinese entities first (Moomoo, Tiger, Ant/ANEXT, ADVANCE.AI, Chinese banks) — Mandarin + regulation knowledge is a rare combination.</t>
  </si>
  <si>
    <t xml:space="preserve">AI Security: target AI-native startups making first security hires (Simular, MiroMind, Genspark, Manus) and fraud-heavy fintechs (Ant, ADVANCE.AI, Group-IB). Position as 'agent / LLM security', not generic cyber.</t>
  </si>
  <si>
    <t xml:space="preserve">AI Governance: Big Four + banks/insurers (v1) remain core; add Chinese AI firms going abroad (Zhipu, MiniMax, ByteDance) who need SG/IMDA-literate compliance people.</t>
  </si>
  <si>
    <t xml:space="preserve">Data Engineering: freshly funded startups (Ropedia, OBZ, Plaud) convert fastest; giants (ByteDance, Alibaba, SHEIN) for standing-search agreements.</t>
  </si>
  <si>
    <t xml:space="preserve">Software Engineering: Chinese-founded SG HQs with stretched TA (Plaud, Bigo, Bitdeer, PatSnap, Envision) — volume roles where an agency adds speed.</t>
  </si>
  <si>
    <t xml:space="preserve">Sources &amp; limitations</t>
  </si>
  <si>
    <t xml:space="preserve">Public sources incl. MAS (7 Oct 2026), EDB (Plaud, Sep 2026), SCMP (MiroMind Jan 2026; Manus 2025), Bloomberg (ByteDance Seed Feb 2026; WeRide/Pony Sep 2025), e27 (OneByZero Oct 2026), KrASIA (Ropedia), HCAmag/People Matters (campus AI hiring 2026), company sites and filings. Founder backgrounds for some startups are marked 'verify' — do not rely on names alone; confirm on LinkedIn. All signals are a snapshot as of 8 Oct 2026.</t>
  </si>
  <si>
    <t xml:space="preserve">LinkedIn Recruiter setup — step by step</t>
  </si>
  <si>
    <t xml:space="preserve">1. PROJECTS</t>
  </si>
  <si>
    <t xml:space="preserve">Create 3 projects</t>
  </si>
  <si>
    <t xml:space="preserve">'BD-W1 High' (40 companies) · 'BD-W2 Medium' (93) · 'BD-W3 Long-tail' (71). Project = column E in 'LinkedIn Search Plan'. Mark them as BD / client development (not a job) so they don't mix with candidate pipelines.</t>
  </si>
  <si>
    <t xml:space="preserve">Pipeline stages</t>
  </si>
  <si>
    <t xml:space="preserve">Rename the stages to: Uncontacted → InMail sent → Replied → Meeting → Proposal / terms → Client (signed) → Not now.</t>
  </si>
  <si>
    <t xml:space="preserve">Tags</t>
  </si>
  <si>
    <t xml:space="preserve">Create tags so you can filter across projects: Persona (HM / TA / Founder), Direction (DE / AIGov / AISec / AIRisk / SWE), China Link (A-E), Lang (CN / EN).</t>
  </si>
  <si>
    <t xml:space="preserve">2. FIND PEOPLE</t>
  </si>
  <si>
    <t xml:space="preserve">Per company</t>
  </si>
  <si>
    <t xml:space="preserve">Search → Current company = column C (pick the exact company page in the dropdown) + Location = Singapore. Paste column F into Job titles (Boolean) for hiring managers, then repeat with column G for TA/HR (and column H for startup founders).</t>
  </si>
  <si>
    <t xml:space="preserve">Who to save (2-4 per company)</t>
  </si>
  <si>
    <t xml:space="preserve">1 hiring manager in your direction (Head of Data / AI governance / security / risk / Eng), 1 senior leader (CTO / CRO / CDO), 1 TA/HR contact. For startups (&lt;50 staff), the founder or CTO alone is enough.</t>
  </si>
  <si>
    <t xml:space="preserve">Spotlights for Chinese-speaking contacts</t>
  </si>
  <si>
    <t xml:space="preserve">In Recruiter's spotlight / filters: Spoken languages = Chinese; Schools = Tsinghua, Peking, Zhejiang, SJTU, Fudan, USTC; Past company = ByteDance, Alibaba, Tencent, Huawei. Use these to choose the CN or EN template.</t>
  </si>
  <si>
    <t xml:space="preserve">Before saving</t>
  </si>
  <si>
    <t xml:space="preserve">For rows marked [verify SG team first], check the company page and its SG job posts. If it has no SG staff, mark the row Dead and skip it.</t>
  </si>
  <si>
    <t xml:space="preserve">3. MESSAGING</t>
  </si>
  <si>
    <t xml:space="preserve">Save the templates</t>
  </si>
  <si>
    <t xml:space="preserve">Create each template in the 'InMail Templates' sheet in Recruiter, then swap {firstName} / {company} / {senderFirstName} for Recruiter's Insert variables.</t>
  </si>
  <si>
    <t xml:space="preserve">Pick the template</t>
  </si>
  <si>
    <t xml:space="preserve">Column J = suggested first message. Use the T6 (TA/HR) template for TA/HR contacts. Always rewrite the [signal] line using the 'BD Signal / Why Now' column of the Master list.</t>
  </si>
  <si>
    <t xml:space="preserve">Cadence</t>
  </si>
  <si>
    <t xml:space="preserve">Day 0 InMail → day 5-7 F1 (with a data point or anonymised profile) → day 14 F2 (close the loop). Message no more than 2 people per company in the same week.</t>
  </si>
  <si>
    <t xml:space="preserve">InMail budget</t>
  </si>
  <si>
    <t xml:space="preserve">About 120 InMails for Wave 1 (3 people × 40 companies). Recruiter Lite has far fewer monthly credits than Recruiter Corporate, so check your seat. Save InMails for hiring managers, and use connection requests with a note (≤300 characters) or free messages to Open Profiles for the rest.</t>
  </si>
  <si>
    <t xml:space="preserve">Track</t>
  </si>
  <si>
    <t xml:space="preserve">Update 'LinkedIn Search Plan' columns L-N and the Master list's BD Status; the Summary sheet counts the pipeline automatically.</t>
  </si>
  <si>
    <t xml:space="preserve">4. COMPLIANCE</t>
  </si>
  <si>
    <t xml:space="preserve">Data</t>
  </si>
  <si>
    <t xml:space="preserve">Keep contact details inside LinkedIn and your own ATS/CRM. Don't export profiles in bulk; respect LinkedIn's terms and Singapore's PDPA.</t>
  </si>
  <si>
    <t xml:space="preserve">Master BD Target List (Singapore) — Data Eng · AI Governance · AI Security · AI Risk · Software Eng</t>
  </si>
  <si>
    <t xml:space="preserve">China Link: A = Chinese HQ/SOE · B = Chinese-founded, HQ'd/relocated to SG · C = Greater-China / Chinese-diaspora founders · D = non-Chinese firm with China-origin tech leaders/TA (verify) · E = role fit only.   Role columns: ● = core need, ○ = likely/possible.   Yellow columns (BD Status, Next Step) are yours to fill in.</t>
  </si>
  <si>
    <t xml:space="preserve">#</t>
  </si>
  <si>
    <t xml:space="preserve">Company</t>
  </si>
  <si>
    <t xml:space="preserve">Chinese Name</t>
  </si>
  <si>
    <t xml:space="preserve">Category</t>
  </si>
  <si>
    <t xml:space="preserve">China Link</t>
  </si>
  <si>
    <t xml:space="preserve">China Link Detail</t>
  </si>
  <si>
    <t xml:space="preserve">Data Eng</t>
  </si>
  <si>
    <t xml:space="preserve">AI Gov</t>
  </si>
  <si>
    <t xml:space="preserve">AI Security</t>
  </si>
  <si>
    <t xml:space="preserve">AI Risk</t>
  </si>
  <si>
    <t xml:space="preserve">SWE</t>
  </si>
  <si>
    <t xml:space="preserve">Size / Stage</t>
  </si>
  <si>
    <t xml:space="preserve">BD Signal / Why Now</t>
  </si>
  <si>
    <t xml:space="preserve">Suggested BD Angle</t>
  </si>
  <si>
    <t xml:space="preserve">Priority</t>
  </si>
  <si>
    <t xml:space="preserve">Confidence</t>
  </si>
  <si>
    <t xml:space="preserve">Source</t>
  </si>
  <si>
    <t xml:space="preserve">Origin</t>
  </si>
  <si>
    <t xml:space="preserve">v2 Update / Correction</t>
  </si>
  <si>
    <t xml:space="preserve">BD Status</t>
  </si>
  <si>
    <t xml:space="preserve">Next Step / Notes</t>
  </si>
  <si>
    <t xml:space="preserve">Plaud</t>
  </si>
  <si>
    <t xml:space="preserve">Plaud.ai</t>
  </si>
  <si>
    <t xml:space="preserve">AI Startups &amp; Labs (Chinese-founded / SG-relocated)</t>
  </si>
  <si>
    <t xml:space="preserve">B</t>
  </si>
  <si>
    <t xml:space="preserve">Chinese-founded AI hardware/agent company; Singapore is its APAC HQ and first R&amp;D hub outside HQ</t>
  </si>
  <si>
    <t xml:space="preserve">●</t>
  </si>
  <si>
    <t xml:space="preserve">○</t>
  </si>
  <si>
    <t xml:space="preserve">Scale-up; SG team ~10 → ~100 in 9 months, target 150</t>
  </si>
  <si>
    <t xml:space="preserve">Opened 15,000 sq ft APAC HQ at MBFC on 16 Sep 2026; doubled SG investment to ≥S$20M; actively hiring AI engineers, AI agent architects, data scientists for its first overseas R&amp;D hub</t>
  </si>
  <si>
    <t xml:space="preserve">Hottest Chinese-founded AI hiring signal in SG right now — team is 2/3 of the way to its 150 target, TA is stretched; pitch AI/agent engineers + data scientists, Mandarin-speaking HQ liaison</t>
  </si>
  <si>
    <t xml:space="preserve">High</t>
  </si>
  <si>
    <t xml:space="preserve">Confirmed</t>
  </si>
  <si>
    <t xml:space="preserve">EDB press release (Sep 2026); HRO / TechCoffeeHouse Jun &amp; Sep 2026</t>
  </si>
  <si>
    <t xml:space="preserve">v2 new</t>
  </si>
  <si>
    <t xml:space="preserve">Not started</t>
  </si>
  <si>
    <t xml:space="preserve">MiroMind (Shanda Group)</t>
  </si>
  <si>
    <r>
      <rPr>
        <sz val="10"/>
        <rFont val="WenQuanYi Zen Hei"/>
        <family val="2"/>
      </rPr>
      <t xml:space="preserve">盛大 </t>
    </r>
    <r>
      <rPr>
        <sz val="10"/>
        <rFont val="Arial"/>
        <family val="0"/>
        <charset val="1"/>
      </rPr>
      <t xml:space="preserve">MiroMind</t>
    </r>
  </si>
  <si>
    <t xml:space="preserve">Backed by Shanda (Chen Tianqiao); Jan 2026 reorg made Singapore the exclusive base for its AGI research; Shanghai staff asked to relocate</t>
  </si>
  <si>
    <t xml:space="preserve">Research lab; &gt;80% PhD team (per public posts)</t>
  </si>
  <si>
    <t xml:space="preserve">Jan 2026: AGI / fundamental research to be done exclusively in Singapore; careers page hiring engineers for a SG-based team; a 'Verifiable AI Lab' is being set up</t>
  </si>
  <si>
    <t xml:space="preserve">Relocation = backfill gap for staff who won't move from Shanghai; pitch research engineers, LLM infra, and AI safety / verification profiles</t>
  </si>
  <si>
    <t xml:space="preserve">SCMP Jan 2026; miromind.ai careers / announcement</t>
  </si>
  <si>
    <t xml:space="preserve">Ropedia</t>
  </si>
  <si>
    <t xml:space="preserve">C</t>
  </si>
  <si>
    <t xml:space="preserve">SG-based physical-AI data infrastructure; co-founders Zhaoxi Chen &amp; Fangzhou Hong (verify background on LinkedIn)</t>
  </si>
  <si>
    <t xml:space="preserve">Pre-Series A US$22M</t>
  </si>
  <si>
    <t xml:space="preserve">Large pre-A round for a data-infra startup → immediate engineering build-out</t>
  </si>
  <si>
    <t xml:space="preserve">Data infra is literally the product — your strongest Data Engineer pitch; reach out to founders directly</t>
  </si>
  <si>
    <t xml:space="preserve">KrASIA 'Deals in brief' 2026</t>
  </si>
  <si>
    <t xml:space="preserve">OneByZero (OBZ)</t>
  </si>
  <si>
    <t xml:space="preserve">OneByZero</t>
  </si>
  <si>
    <t xml:space="preserve">E</t>
  </si>
  <si>
    <t xml:space="preserve">SG-based enterprise AI deployment firm (founders' background to verify)</t>
  </si>
  <si>
    <t xml:space="preserve">Series A US$20M (Oct 2026, Jungle Ventures)</t>
  </si>
  <si>
    <t xml:space="preserve">Raised 5 Oct 2026 to expand APAC + enter Japan — hiring burst imminent</t>
  </si>
  <si>
    <t xml:space="preserve">Call this week: funding is 3 days old. Pitch forward-deployed engineers, data engineers, AI governance (enterprise rollout)</t>
  </si>
  <si>
    <t xml:space="preserve">e27, 5 Oct 2026</t>
  </si>
  <si>
    <t xml:space="preserve">Manus (Butterfly Effect) — now Meta</t>
  </si>
  <si>
    <r>
      <rPr>
        <sz val="10"/>
        <rFont val="WenQuanYi Zen Hei"/>
        <family val="2"/>
      </rPr>
      <t xml:space="preserve">蝴蝶效应 </t>
    </r>
    <r>
      <rPr>
        <sz val="10"/>
        <rFont val="Arial"/>
        <family val="0"/>
        <charset val="1"/>
      </rPr>
      <t xml:space="preserve">Manus</t>
    </r>
  </si>
  <si>
    <t xml:space="preserve">Founded in China (Xiao Hong); moved HQ to Singapore mid-2025; acquired by Meta (~US$2B); deal under Chinese regulatory review in 2026</t>
  </si>
  <si>
    <t xml:space="preserve">Agent startup inside Meta; ~US$100M ARR before deal</t>
  </si>
  <si>
    <t xml:space="preserve">Laid off China staff and closed China offices when relocating; post-acquisition integration + China review = uncertain but active SG engineering base</t>
  </si>
  <si>
    <t xml:space="preserve">Dual use: (1) client for agent / infra / agent-security engineers if Meta keeps scaling SG; (2) rich candidate pool if integration causes attrition. Verify current SG headcount first</t>
  </si>
  <si>
    <t xml:space="preserve">Medium-High</t>
  </si>
  <si>
    <t xml:space="preserve">SCMP 2025; Wikipedia 'Manus (AI agent)'; Rest of World 2026</t>
  </si>
  <si>
    <t xml:space="preserve">Genspark (MainFunc)</t>
  </si>
  <si>
    <t xml:space="preserve">Genspark</t>
  </si>
  <si>
    <t xml:space="preserve">Founded by ex-Baidu Xiaodu CEO/CTO (Eric Jing, Kay Zhu); offices in Palo Alto, Singapore, Japan; majority-Chinese team per commentary</t>
  </si>
  <si>
    <t xml:space="preserve">Unicorn; Tencent invested</t>
  </si>
  <si>
    <t xml:space="preserve">Super-agent product scaling fast; SG is one of three offices</t>
  </si>
  <si>
    <t xml:space="preserve">Mandarin-speaking founders — ideal fit for your pitch; ask whether SG will host engineering vs. GTM only</t>
  </si>
  <si>
    <t xml:space="preserve">Likely</t>
  </si>
  <si>
    <t xml:space="preserve">The Information (Tencent investment); Crunchbase; AI Supremacy</t>
  </si>
  <si>
    <t xml:space="preserve">Simular</t>
  </si>
  <si>
    <t xml:space="preserve">Computer-use agent startup; co-founders ex-Google DeepMind (reported as Ang Li &amp; Jiachen Yang — verify)</t>
  </si>
  <si>
    <t xml:space="preserve">Venture-backed startup</t>
  </si>
  <si>
    <t xml:space="preserve">Jun 2026: hiring its FIRST dedicated security engineer in Singapore (agent attack surface)</t>
  </si>
  <si>
    <t xml:space="preserve">Textbook AI Security role — bring agent-security / appsec candidates; first hire usually wants agency help</t>
  </si>
  <si>
    <t xml:space="preserve">Seedtable job listing (Jun 2026)</t>
  </si>
  <si>
    <t xml:space="preserve">Envision Digital</t>
  </si>
  <si>
    <t xml:space="preserve">远景智能</t>
  </si>
  <si>
    <t xml:space="preserve">Envision Group (Zhang Lei) AIoT / energy-AI arm, global HQ in Singapore</t>
  </si>
  <si>
    <t xml:space="preserve">Large, US$210M raised (Sequoia China, GIC)</t>
  </si>
  <si>
    <t xml:space="preserve">AIoT/energy-AI platform; SG global HQ with China R&amp;D</t>
  </si>
  <si>
    <t xml:space="preserve">Mandarin-speaking leadership + SG HQ — pitch data platform engineers and AI governance for energy/critical infra</t>
  </si>
  <si>
    <t xml:space="preserve">DealStreetAsia; company website</t>
  </si>
  <si>
    <t xml:space="preserve">Tabcut</t>
  </si>
  <si>
    <t xml:space="preserve">Hangzhou founders moved global HQ to Singapore after raising from Kamet Capital</t>
  </si>
  <si>
    <t xml:space="preserve">Early-stage, US$5.6M raised</t>
  </si>
  <si>
    <t xml:space="preserve">TikTok-Shop analytics/data SaaS — data engineering is the product</t>
  </si>
  <si>
    <t xml:space="preserve">Small team without in-house TA; offer contingent search for data/backend engineers</t>
  </si>
  <si>
    <t xml:space="preserve">Medium</t>
  </si>
  <si>
    <t xml:space="preserve">Bloomberg / BusinessWorld 2024 (relocation report)</t>
  </si>
  <si>
    <t xml:space="preserve">Agnes AI (SapiensAI)</t>
  </si>
  <si>
    <t xml:space="preserve">Agnes AI</t>
  </si>
  <si>
    <t xml:space="preserve">SG-based, founded 2025 by Bruce Yang; positioned in Chinese media as part of Chinese-founder wave in SG ('DeepSeek of SEA')</t>
  </si>
  <si>
    <t xml:space="preserve">Series A (Feb 2026)</t>
  </si>
  <si>
    <t xml:space="preserve">Post-Series A team build in SG</t>
  </si>
  <si>
    <t xml:space="preserve">Freshly funded, small team — fast decisions; verify founder network (Chinese-media coverage suggests Mandarin-speaking leadership)</t>
  </si>
  <si>
    <t xml:space="preserve">Dealroom; TMTPost</t>
  </si>
  <si>
    <t xml:space="preserve">Sapient Intelligence</t>
  </si>
  <si>
    <t xml:space="preserve">SG-based AGI research startup (HRM model); Chinese founding team (founder reported as Guan Wang — verify)</t>
  </si>
  <si>
    <t xml:space="preserve">Early-stage research lab</t>
  </si>
  <si>
    <t xml:space="preserve">Gained global attention for Hierarchical Reasoning Model (2025); research hiring in SG</t>
  </si>
  <si>
    <t xml:space="preserve">Pitch research engineers / ML infra; small team, founder-led hiring</t>
  </si>
  <si>
    <t xml:space="preserve">To verify</t>
  </si>
  <si>
    <t xml:space="preserve">Public reporting 2025; verify current funding/headcount</t>
  </si>
  <si>
    <t xml:space="preserve">Skywork AI (Kunlun Tech)</t>
  </si>
  <si>
    <t xml:space="preserve">昆仑万维 天工</t>
  </si>
  <si>
    <t xml:space="preserve">Kunlun Tech's overseas AI apps published via Skywork AI Pte. Ltd. (Singapore)</t>
  </si>
  <si>
    <t xml:space="preserve">Listed parent (Shenzhen), overseas AI app arm</t>
  </si>
  <si>
    <t xml:space="preserve">Overseas AI products (agents, music, short drama) operated from SG entity</t>
  </si>
  <si>
    <t xml:space="preserve">Verify engineering vs. ops split in SG; pitch AI product engineers + overseas compliance</t>
  </si>
  <si>
    <t xml:space="preserve">App-store publisher records; public reporting</t>
  </si>
  <si>
    <t xml:space="preserve">WIZ.AI</t>
  </si>
  <si>
    <t xml:space="preserve">SG conversational/voice-AI startup with Chinese founding team (founder reported as Jennifer Zhang — verify)</t>
  </si>
  <si>
    <t xml:space="preserve">Series B-stage</t>
  </si>
  <si>
    <t xml:space="preserve">Voice-agent demand rising across SEA banks/telcos</t>
  </si>
  <si>
    <t xml:space="preserve">Pitch speech/LLM engineers; small TA team</t>
  </si>
  <si>
    <t xml:space="preserve">Company website; Tech in Asia</t>
  </si>
  <si>
    <t xml:space="preserve">AI Rudder</t>
  </si>
  <si>
    <t xml:space="preserve">SG voice-AI collections/CS platform; founding team background to verify</t>
  </si>
  <si>
    <t xml:space="preserve">Growth-stage</t>
  </si>
  <si>
    <t xml:space="preserve">Voice AI for fintech collections across SEA</t>
  </si>
  <si>
    <t xml:space="preserve">Verify leadership; fintech clients also give AI Risk angle</t>
  </si>
  <si>
    <t xml:space="preserve">Low-Medium</t>
  </si>
  <si>
    <t xml:space="preserve">Company website</t>
  </si>
  <si>
    <t xml:space="preserve">Hypotenuse AI</t>
  </si>
  <si>
    <t xml:space="preserve">SG GenAI content startup (YC), Singaporean-Chinese founder</t>
  </si>
  <si>
    <t xml:space="preserve">Early-stage</t>
  </si>
  <si>
    <t xml:space="preserve">Lean product/engineering team</t>
  </si>
  <si>
    <t xml:space="preserve">Small but founder-led hiring; good for 1-2 senior SWE placements</t>
  </si>
  <si>
    <t xml:space="preserve">Low</t>
  </si>
  <si>
    <t xml:space="preserve">e27 (YC-backed SG AI startups)</t>
  </si>
  <si>
    <t xml:space="preserve">SmartMore</t>
  </si>
  <si>
    <t xml:space="preserve">思谋科技</t>
  </si>
  <si>
    <t xml:space="preserve">A</t>
  </si>
  <si>
    <t xml:space="preserve">Shenzhen industrial-AI company; reported plan to expand into SEA starting with Singapore</t>
  </si>
  <si>
    <t xml:space="preserve">Large Chinese AI unicorn</t>
  </si>
  <si>
    <t xml:space="preserve">Reported SEA expansion plan (date unclear)</t>
  </si>
  <si>
    <t xml:space="preserve">Radar — check for SG entity / job posts</t>
  </si>
  <si>
    <t xml:space="preserve">Radar</t>
  </si>
  <si>
    <t xml:space="preserve">Public reporting (undated)</t>
  </si>
  <si>
    <t xml:space="preserve">MiniMax</t>
  </si>
  <si>
    <t xml:space="preserve">Chinese Foundation-Model Firms Going Abroad</t>
  </si>
  <si>
    <t xml:space="preserve">HK-listed; SG subsidiaries Subsup Pte. Ltd. &amp; Nanonoble Pte. Ltd. in group structure</t>
  </si>
  <si>
    <t xml:space="preserve">Unicorn, HK IPO early 2026</t>
  </si>
  <si>
    <t xml:space="preserve">SG entities now confirmed in filings; recruiting AI talent at NUS/NTU (May 2026)</t>
  </si>
  <si>
    <t xml:space="preserve">Upgrade to High: entities + campus hiring confirmed; ask about SG compliance/trust &amp; safety team</t>
  </si>
  <si>
    <t xml:space="preserve">HK IPO filings; HCAmag May 2026</t>
  </si>
  <si>
    <t xml:space="preserve">v2: replaces v1 row — SG subsidiaries now confirmed in IPO filings; upgraded to High</t>
  </si>
  <si>
    <t xml:space="preserve">ByteDance Seed (AI research) — Singapore lab</t>
  </si>
  <si>
    <r>
      <rPr>
        <sz val="10"/>
        <rFont val="WenQuanYi Zen Hei"/>
        <family val="2"/>
      </rPr>
      <t xml:space="preserve">字节跳动 </t>
    </r>
    <r>
      <rPr>
        <sz val="10"/>
        <rFont val="Arial"/>
        <family val="0"/>
        <charset val="1"/>
      </rPr>
      <t xml:space="preserve">Seed</t>
    </r>
  </si>
  <si>
    <t xml:space="preserve">Seed has labs in US, Singapore and China; separate hiring team from TikTok</t>
  </si>
  <si>
    <t xml:space="preserve">Mega-scale AI lab</t>
  </si>
  <si>
    <t xml:space="preserve">Bloomberg Feb 2026: ~100 open roles in AI division; SG is one of three lab locations</t>
  </si>
  <si>
    <t xml:space="preserve">Treat as a separate account from TikTok — pitch research engineers, LLM infra, AI safety / red-team</t>
  </si>
  <si>
    <t xml:space="preserve">Bloomberg 19 Feb 2026</t>
  </si>
  <si>
    <t xml:space="preserve">Zhipu AI (Z.ai)</t>
  </si>
  <si>
    <t xml:space="preserve">智谱</t>
  </si>
  <si>
    <t xml:space="preserve">Chinese 'AI Tiger'; VP confirmed Singapore office; SG entity (Jingsheng Hengxing Technology Pte.) in IPO structure</t>
  </si>
  <si>
    <t xml:space="preserve">Unicorn, listed / IPO stage</t>
  </si>
  <si>
    <t xml:space="preserve">Overseas offices in SG, Middle East, UK, Malaysia; sovereign-AI partnerships across SEA</t>
  </si>
  <si>
    <t xml:space="preserve">Upgrade from radar: SG office confirmed. Overseas compliance = AI Governance need; plus solutions/data engineers for SEA deals</t>
  </si>
  <si>
    <t xml:space="preserve">GITEX Asia remarks (AOL/Reuters); IPO filings</t>
  </si>
  <si>
    <t xml:space="preserve">v2: replaces v1 radar row — SG office confirmed</t>
  </si>
  <si>
    <t xml:space="preserve">Kuaishou — Symphony Tech (SG unit)</t>
  </si>
  <si>
    <t xml:space="preserve">快手 新加坡</t>
  </si>
  <si>
    <t xml:space="preserve">Kuaishou launched AI-companion app FantaSay via its Singapore unit Symphony Tech</t>
  </si>
  <si>
    <t xml:space="preserve">Mega-scale parent</t>
  </si>
  <si>
    <t xml:space="preserve">Overseas AI-companion app run from SG; content-safety scrutiny (NSFW reports)</t>
  </si>
  <si>
    <t xml:space="preserve">AI Gov / trust &amp; safety + AI engineers — strong governance pitch given content concerns</t>
  </si>
  <si>
    <t xml:space="preserve">Yahoo Finance / Bloomberg</t>
  </si>
  <si>
    <t xml:space="preserve">v2.1</t>
  </si>
  <si>
    <t xml:space="preserve">v2.1: new</t>
  </si>
  <si>
    <t xml:space="preserve">PixVerse (AIsphere)</t>
  </si>
  <si>
    <t xml:space="preserve">爱诗科技</t>
  </si>
  <si>
    <t xml:space="preserve">AI-video company; reportedly HQ Singapore with research in Beijing (verify — low-reliability source)</t>
  </si>
  <si>
    <t xml:space="preserve">Unicorn-stage</t>
  </si>
  <si>
    <t xml:space="preserve">Global AI-video product</t>
  </si>
  <si>
    <t xml:space="preserve">If SG HQ confirmed: AI engineers + content governance</t>
  </si>
  <si>
    <t xml:space="preserve">Wiki / company directories</t>
  </si>
  <si>
    <t xml:space="preserve">Moonshot AI (Kimi)</t>
  </si>
  <si>
    <t xml:space="preserve">月之暗面</t>
  </si>
  <si>
    <t xml:space="preserve">Beijing; scaled back overseas consumer apps (2024); preparing HK IPO</t>
  </si>
  <si>
    <t xml:space="preserve">Unicorn</t>
  </si>
  <si>
    <t xml:space="preserve">No SG team found</t>
  </si>
  <si>
    <t xml:space="preserve">Yicai 2024; Wikipedia</t>
  </si>
  <si>
    <t xml:space="preserve">v2.1: split from grouped row 'Moonshot / StepFun / AI Tigers'</t>
  </si>
  <si>
    <t xml:space="preserve">StepFun</t>
  </si>
  <si>
    <t xml:space="preserve">阶跃星辰</t>
  </si>
  <si>
    <t xml:space="preserve">Shanghai AI Tiger</t>
  </si>
  <si>
    <t xml:space="preserve">—</t>
  </si>
  <si>
    <t xml:space="preserve">Baichuan AI</t>
  </si>
  <si>
    <t xml:space="preserve">百川智能</t>
  </si>
  <si>
    <t xml:space="preserve">Beijing AI Tiger (healthcare focus)</t>
  </si>
  <si>
    <t xml:space="preserve">01.AI</t>
  </si>
  <si>
    <t xml:space="preserve">零一万物</t>
  </si>
  <si>
    <t xml:space="preserve">Kai-Fu Lee's AI company</t>
  </si>
  <si>
    <t xml:space="preserve">ByteDance / TikTok Singapore</t>
  </si>
  <si>
    <r>
      <rPr>
        <sz val="10"/>
        <rFont val="WenQuanYi Zen Hei"/>
        <family val="2"/>
      </rPr>
      <t xml:space="preserve">字节跳动 </t>
    </r>
    <r>
      <rPr>
        <sz val="10"/>
        <rFont val="Arial"/>
        <family val="0"/>
        <charset val="1"/>
      </rPr>
      <t xml:space="preserve">/ TikTok</t>
    </r>
  </si>
  <si>
    <t xml:space="preserve">Tech Giants (Regional / Global HQ)</t>
  </si>
  <si>
    <t xml:space="preserve">Chinese HQ; SG is global/APAC hub</t>
  </si>
  <si>
    <t xml:space="preserve">Mega-scale, aggressively expanding</t>
  </si>
  <si>
    <t xml:space="preserve">2,353 of its ~10,000 2026 campus-recruitment roles are AI-related; Singapore is its global/APAC hub, and global data-compliance scrutiny makes both AI governance and data engineering talent urgently needed</t>
  </si>
  <si>
    <t xml:space="preserve">One of the top priority targets: high headcount volume, fast expansion, and "global regulatory scrutiny" is itself the strongest AI Governance pitch angle</t>
  </si>
  <si>
    <t xml:space="preserve">36kr / industry reporting synthesis</t>
  </si>
  <si>
    <t xml:space="preserve">v1</t>
  </si>
  <si>
    <t xml:space="preserve">v2: ByteDance Seed, Lark, BytePlus added as separate accounts; also merged duplicate row from v1 DE sheet</t>
  </si>
  <si>
    <t xml:space="preserve">Alibaba Group / Alibaba Cloud International (Singapore)</t>
  </si>
  <si>
    <t xml:space="preserve">阿里巴巴</t>
  </si>
  <si>
    <t xml:space="preserve">Chinese HQ / mainland parent</t>
  </si>
  <si>
    <t xml:space="preserve">Mega-scale</t>
  </si>
  <si>
    <t xml:space="preserve">Alibaba Cloud has been headquartered in Singapore since 2015; AI-related roles make up 60-80% of Alibaba International's hiring</t>
  </si>
  <si>
    <t xml:space="preserve">A core buyer of data engineering talent — build separate contacts across its three business lines (Cloud / Ant / Lazada)</t>
  </si>
  <si>
    <t xml:space="preserve">Industry reporting synthesis</t>
  </si>
  <si>
    <t xml:space="preserve">v2: Ant International and Lazada split into their own rows</t>
  </si>
  <si>
    <t xml:space="preserve">Tencent Singapore</t>
  </si>
  <si>
    <t xml:space="preserve">腾讯</t>
  </si>
  <si>
    <t xml:space="preserve">Large, intense AI talent war</t>
  </si>
  <si>
    <t xml:space="preserve">Offering 150% pay raises + 35% bonuses to attract AI talent, implying ample hiring budget and fast decision-making</t>
  </si>
  <si>
    <t xml:space="preserve">The high-pay signal supports a "precision top-candidate sourcing" pitch</t>
  </si>
  <si>
    <t xml:space="preserve">Tom's Hardware reporting</t>
  </si>
  <si>
    <t xml:space="preserve">Xiaomi Singapore</t>
  </si>
  <si>
    <t xml:space="preserve">小米</t>
  </si>
  <si>
    <t xml:space="preserve">Large</t>
  </si>
  <si>
    <t xml:space="preserve">Indeed lists 178+ Data Engineer-related roles, spanning from Engineer level up to VP of Technology / Big Data Architect</t>
  </si>
  <si>
    <t xml:space="preserve">High volume across all seniority levels — good fit for a standing-search agreement</t>
  </si>
  <si>
    <t xml:space="preserve">Indeed job listing statistics</t>
  </si>
  <si>
    <t xml:space="preserve">SHEIN Singapore</t>
  </si>
  <si>
    <t xml:space="preserve">希音</t>
  </si>
  <si>
    <t xml:space="preserve">Chinese-founded; registered HQ in Singapore</t>
  </si>
  <si>
    <t xml:space="preserve">Mega-scale, HQ-level</t>
  </si>
  <si>
    <t xml:space="preserve">Registered HQ in Singapore (Robinson Road); supply chain, ad spend, and dynamic pricing all drive heavy data engineering demand</t>
  </si>
  <si>
    <t xml:space="preserve">Decision-making power sits locally in Singapore — one of the highest-value accounts to cultivate</t>
  </si>
  <si>
    <t xml:space="preserve">Company website / craft.co</t>
  </si>
  <si>
    <t xml:space="preserve">Grab</t>
  </si>
  <si>
    <t xml:space="preserve">D</t>
  </si>
  <si>
    <t xml:space="preserve">Large China-origin engineering population; historically had a Beijing R&amp;D centre (verify current tech leads)</t>
  </si>
  <si>
    <t xml:space="preserve">Singapore R&amp;D centre, 5,001-10,000 employees, continuous large-scale hiring</t>
  </si>
  <si>
    <t xml:space="preserve">SEA's largest super-app, large and high-turnover data teams — a good candidate for a long-term, steady client relationship</t>
  </si>
  <si>
    <t xml:space="preserve">Glassdoor / Grab careers page</t>
  </si>
  <si>
    <t xml:space="preserve">Ant International (Alipay+, Antom, WorldFirst, ANEXT Bank)</t>
  </si>
  <si>
    <t xml:space="preserve">蚂蚁国际</t>
  </si>
  <si>
    <t xml:space="preserve">Global HQ in Singapore; Chinese leadership</t>
  </si>
  <si>
    <t xml:space="preserve">Mega-scale; 4 business lines</t>
  </si>
  <si>
    <t xml:space="preserve">AI-heavy: Alipay+ Cockpit AI-as-a-Service, AI SHIELD fraud detection; ANEXT is an MAS-licensed digital wholesale bank → MAS AI Risk Guidelines apply</t>
  </si>
  <si>
    <t xml:space="preserve">Best single account for AI Risk + AI Security (fraud/deepfake/KYC) + AI Gov; split from 'Alibaba' row in v1 — build separate contacts per business line</t>
  </si>
  <si>
    <t xml:space="preserve">Ant International press releases; EDB</t>
  </si>
  <si>
    <t xml:space="preserve">Sea / Shopee / Garena / MariBank</t>
  </si>
  <si>
    <t xml:space="preserve">冬海集团</t>
  </si>
  <si>
    <t xml:space="preserve">Founder &amp; CEO Forrest Li (Tianjin-born Singaporean); large China-origin engineering population</t>
  </si>
  <si>
    <t xml:space="preserve">AI CoE (Jul 2026); MariBank (MAS-licensed digital bank) now in scope of MAS AI Risk Guidelines</t>
  </si>
  <si>
    <t xml:space="preserve">Add MariBank as an AI Risk/Gov entry point; Shopee Trust &amp; Safety for AI Security</t>
  </si>
  <si>
    <t xml:space="preserve">Wikipedia (Forrest Li); company sites</t>
  </si>
  <si>
    <t xml:space="preserve">v2: replaces v1 row — added MariBank (AI Risk) and founder link</t>
  </si>
  <si>
    <t xml:space="preserve">Bigo Technology (JOYY)</t>
  </si>
  <si>
    <r>
      <rPr>
        <sz val="10"/>
        <rFont val="Arial"/>
        <family val="0"/>
        <charset val="1"/>
      </rPr>
      <t xml:space="preserve">BIGO </t>
    </r>
    <r>
      <rPr>
        <sz val="10"/>
        <rFont val="WenQuanYi Zen Hei"/>
        <family val="2"/>
      </rPr>
      <t xml:space="preserve">欢聚</t>
    </r>
  </si>
  <si>
    <t xml:space="preserve">Chinese-founded, Singapore-headquartered live-streaming company; 6 R&amp;D centres worldwide</t>
  </si>
  <si>
    <t xml:space="preserve">Live-streaming content moderation, recsys and ads all data/AI heavy</t>
  </si>
  <si>
    <t xml:space="preserve">Pitch data engineers + Trust &amp; Safety / AI content-security engineers; Mandarin-speaking management</t>
  </si>
  <si>
    <t xml:space="preserve">Company job-board profile</t>
  </si>
  <si>
    <t xml:space="preserve">Trip.com Group Singapore</t>
  </si>
  <si>
    <t xml:space="preserve">携程</t>
  </si>
  <si>
    <t xml:space="preserve">Chinese-founded; principal executive offices moved to Singapore</t>
  </si>
  <si>
    <t xml:space="preserve">Large, HQ relocating</t>
  </si>
  <si>
    <t xml:space="preserve">Principal executive offices have moved to Singapore; core team continues to expand</t>
  </si>
  <si>
    <t xml:space="preserve">HQ relocation means decisions are now local — a priority account</t>
  </si>
  <si>
    <t xml:space="preserve">Wikipedia / company announcements</t>
  </si>
  <si>
    <t xml:space="preserve">Huawei Singapore (Huawei Cloud / Huawei Intl)</t>
  </si>
  <si>
    <t xml:space="preserve">华为新加坡</t>
  </si>
  <si>
    <t xml:space="preserve">Chinese HQ; regional cloud + R&amp;D</t>
  </si>
  <si>
    <t xml:space="preserve">Huawei said it will increase SG campus recruitment in 2026; Huawei Cloud SG region</t>
  </si>
  <si>
    <t xml:space="preserve">Lateral roles in cloud/AI/security; long decision chain, Mandarin advantage</t>
  </si>
  <si>
    <t xml:space="preserve">HCAmag / People Matters 2026</t>
  </si>
  <si>
    <t xml:space="preserve">Lark (Feishu) International</t>
  </si>
  <si>
    <r>
      <rPr>
        <sz val="10"/>
        <rFont val="WenQuanYi Zen Hei"/>
        <family val="2"/>
      </rPr>
      <t xml:space="preserve">飞书 </t>
    </r>
    <r>
      <rPr>
        <sz val="10"/>
        <rFont val="Arial"/>
        <family val="0"/>
        <charset val="1"/>
      </rPr>
      <t xml:space="preserve">Lark</t>
    </r>
  </si>
  <si>
    <t xml:space="preserve">ByteDance made Singapore Lark's global HQ</t>
  </si>
  <si>
    <t xml:space="preserve">Enterprise SaaS selling into regulated industries → security/compliance engineering</t>
  </si>
  <si>
    <t xml:space="preserve">Pitch enterprise security, AI governance (data residency), backend SWE</t>
  </si>
  <si>
    <t xml:space="preserve">KrASIA (older); 2025 SG job postings</t>
  </si>
  <si>
    <t xml:space="preserve">BytePlus (ByteDance enterprise cloud)</t>
  </si>
  <si>
    <t xml:space="preserve">BytePlus</t>
  </si>
  <si>
    <t xml:space="preserve">ByteDance's B2B cloud/AI arm, SG-based</t>
  </si>
  <si>
    <t xml:space="preserve">Selling ByteDance models/recsys to SEA enterprises</t>
  </si>
  <si>
    <t xml:space="preserve">Separate account from TikTok; solutions/data engineers + AI governance for enterprise clients</t>
  </si>
  <si>
    <t xml:space="preserve">Tencent — Level Infinite (games publishing)</t>
  </si>
  <si>
    <r>
      <rPr>
        <sz val="10"/>
        <rFont val="WenQuanYi Zen Hei"/>
        <family val="2"/>
      </rPr>
      <t xml:space="preserve">腾讯 </t>
    </r>
    <r>
      <rPr>
        <sz val="10"/>
        <rFont val="Arial"/>
        <family val="0"/>
        <charset val="1"/>
      </rPr>
      <t xml:space="preserve">Level Infinite</t>
    </r>
  </si>
  <si>
    <t xml:space="preserve">Tencent Games' global publishing arm, HQ Amsterdam + Singapore</t>
  </si>
  <si>
    <t xml:space="preserve">Global game publishing → player data, live-ops analytics, anti-cheat</t>
  </si>
  <si>
    <t xml:space="preserve">Separate BD contact from Tencent corporate; pitch game data engineers</t>
  </si>
  <si>
    <t xml:space="preserve">Lazada (Alibaba)</t>
  </si>
  <si>
    <t xml:space="preserve">Lazada</t>
  </si>
  <si>
    <t xml:space="preserve">Alibaba-owned, SG HQ; many China-transferred tech leaders</t>
  </si>
  <si>
    <t xml:space="preserve">Ongoing tech restructuring; data + AI search/ads teams</t>
  </si>
  <si>
    <t xml:space="preserve">Split from v1 Alibaba row — SG-based tech leadership makes local decisions</t>
  </si>
  <si>
    <t xml:space="preserve">Keeta (Meituan) — SEA</t>
  </si>
  <si>
    <r>
      <rPr>
        <sz val="10"/>
        <rFont val="WenQuanYi Zen Hei"/>
        <family val="2"/>
      </rPr>
      <t xml:space="preserve">美团 </t>
    </r>
    <r>
      <rPr>
        <sz val="10"/>
        <rFont val="Arial"/>
        <family val="0"/>
        <charset val="1"/>
      </rPr>
      <t xml:space="preserve">Keeta</t>
    </r>
  </si>
  <si>
    <t xml:space="preserve">Meituan's overseas food delivery</t>
  </si>
  <si>
    <t xml:space="preserve">Emerging</t>
  </si>
  <si>
    <t xml:space="preserve">Explosive overseas expansion (v1)</t>
  </si>
  <si>
    <t xml:space="preserve">Confirm SG team size</t>
  </si>
  <si>
    <t xml:space="preserve">Industry trend synthesis (v1)</t>
  </si>
  <si>
    <t xml:space="preserve">v2.1: split from grouped row 'Meituan Keeta / Pinduoduo Temu (v1)'</t>
  </si>
  <si>
    <t xml:space="preserve">Temu (PDD) — SEA</t>
  </si>
  <si>
    <r>
      <rPr>
        <sz val="10"/>
        <rFont val="WenQuanYi Zen Hei"/>
        <family val="2"/>
      </rPr>
      <t xml:space="preserve">拼多多 </t>
    </r>
    <r>
      <rPr>
        <sz val="10"/>
        <rFont val="Arial"/>
        <family val="0"/>
        <charset val="1"/>
      </rPr>
      <t xml:space="preserve">Temu</t>
    </r>
  </si>
  <si>
    <t xml:space="preserve">PDD's cross-border e-commerce</t>
  </si>
  <si>
    <t xml:space="preserve">SEA expansion (v1)</t>
  </si>
  <si>
    <t xml:space="preserve">Lenovo (APAC)</t>
  </si>
  <si>
    <t xml:space="preserve">联想</t>
  </si>
  <si>
    <t xml:space="preserve">Chinese HQ; APAC presence in Singapore (verify scope)</t>
  </si>
  <si>
    <t xml:space="preserve">AI PC / infrastructure push</t>
  </si>
  <si>
    <t xml:space="preserve">Verify which functions sit in SG</t>
  </si>
  <si>
    <t xml:space="preserve">OPPO</t>
  </si>
  <si>
    <t xml:space="preserve">APAC hub is in Kuala Lumpur; SG is commercial (flagship store)</t>
  </si>
  <si>
    <t xml:space="preserve">No SG tech team evidence</t>
  </si>
  <si>
    <t xml:space="preserve">Low — SG is sales, not tech</t>
  </si>
  <si>
    <t xml:space="preserve">Marketing-Interactive</t>
  </si>
  <si>
    <t xml:space="preserve">v2.1: split from grouped row 'Chinese handset makers'</t>
  </si>
  <si>
    <t xml:space="preserve">Transsion (TECNO)</t>
  </si>
  <si>
    <t xml:space="preserve">传音控股</t>
  </si>
  <si>
    <t xml:space="preserve">Launched TECNO foldables in SG</t>
  </si>
  <si>
    <t xml:space="preserve">SG market entry; no SG tech team found</t>
  </si>
  <si>
    <t xml:space="preserve">SCMP</t>
  </si>
  <si>
    <t xml:space="preserve">vivo</t>
  </si>
  <si>
    <t xml:space="preserve">No SG regional HQ or R&amp;D found</t>
  </si>
  <si>
    <t xml:space="preserve">Radar only</t>
  </si>
  <si>
    <t xml:space="preserve">Search found none</t>
  </si>
  <si>
    <t xml:space="preserve">realme</t>
  </si>
  <si>
    <t xml:space="preserve">Honor</t>
  </si>
  <si>
    <t xml:space="preserve">荣耀</t>
  </si>
  <si>
    <t xml:space="preserve">ADVANCE.AI / Atome (Advance Intelligence Group)</t>
  </si>
  <si>
    <t xml:space="preserve">ADVANCE.AI</t>
  </si>
  <si>
    <t xml:space="preserve">Fintech / Payments / Digital Banks</t>
  </si>
  <si>
    <t xml:space="preserve">Chinese-founded, SG-headquartered AI risk / KYC / BNPL group</t>
  </si>
  <si>
    <t xml:space="preserve">Core product = AI risk models, fraud &amp; deepfake detection; licensed lending → MAS AI Risk Guidelines</t>
  </si>
  <si>
    <t xml:space="preserve">Perfect AI Risk + AI Security fit with Mandarin-speaking leadership — top new fintech target</t>
  </si>
  <si>
    <t xml:space="preserve">FinVolution Group</t>
  </si>
  <si>
    <t xml:space="preserve">信也科技</t>
  </si>
  <si>
    <t xml:space="preserve">Shanghai-based, NYSE-listed; overseas brands AdaKami (Indonesia), JuanHand (Philippines); also Pakistan, Australia</t>
  </si>
  <si>
    <t xml:space="preserve">Large; overseas = 27.3% of revenue (Q2 2026)</t>
  </si>
  <si>
    <t xml:space="preserve">Overseas revenue +18% YoY to RMB930M in Q2 2026; separate overseas segment from Q1 2026; target &gt;50% of revenue overseas by 2030</t>
  </si>
  <si>
    <t xml:space="preserve">Biggest Chinese credit-tech going abroad — localising risk-control systems = AI Risk + data engineers. Ask where the regional hub / overseas tech team sits (SG entity to verify)</t>
  </si>
  <si>
    <t xml:space="preserve">FinVolution Q1 &amp; Q2 2026 earnings calls</t>
  </si>
  <si>
    <t xml:space="preserve">v2.1: split from grouped row 'Chinese credit-tech going abroad'</t>
  </si>
  <si>
    <t xml:space="preserve">SUNRATE</t>
  </si>
  <si>
    <t xml:space="preserve">Global HQ in Singapore; offices in HK, Shanghai, Jakarta, London; acquiring China's Transfar Pay; co-founders Joshua Bao &amp; Paul Meng (verify background)</t>
  </si>
  <si>
    <t xml:space="preserve">Scale-up; MAS MPI + CMS licences</t>
  </si>
  <si>
    <t xml:space="preserve">Expanding into treasury products (2025); DBS partnership; China payment licence via acquisition</t>
  </si>
  <si>
    <t xml:space="preserve">Licensed + China links → AI Risk/Gov + data; SG HQ makes decisions locally</t>
  </si>
  <si>
    <t xml:space="preserve">sunrate.com newsroom; Vietnam News 2025</t>
  </si>
  <si>
    <t xml:space="preserve">v2.1: new — Chinese cross-border payments</t>
  </si>
  <si>
    <t xml:space="preserve">PingPong</t>
  </si>
  <si>
    <r>
      <rPr>
        <sz val="10"/>
        <rFont val="Arial"/>
        <family val="0"/>
        <charset val="1"/>
      </rPr>
      <t xml:space="preserve">PingPong </t>
    </r>
    <r>
      <rPr>
        <sz val="10"/>
        <rFont val="WenQuanYi Zen Hei"/>
        <family val="2"/>
      </rPr>
      <t xml:space="preserve">乒乓智能</t>
    </r>
  </si>
  <si>
    <t xml:space="preserve">Mid-to-large, licensed entity</t>
  </si>
  <si>
    <t xml:space="preserve">Chinese founding team, holds an MAS payments license; compliance and data needs are both significant</t>
  </si>
  <si>
    <t xml:space="preserve">Licensed entities have hard-constraint data governance/compliance talent needs — a strong potential AI Governance client</t>
  </si>
  <si>
    <t xml:space="preserve">MAS licensee registry / company information synthesis</t>
  </si>
  <si>
    <r>
      <rPr>
        <sz val="10"/>
        <color rgb="FFC00000"/>
        <rFont val="Arial"/>
        <family val="0"/>
        <charset val="1"/>
      </rPr>
      <t xml:space="preserve">v2 CORRECTION: v1 labelled PingPong as </t>
    </r>
    <r>
      <rPr>
        <sz val="10"/>
        <color rgb="FFC00000"/>
        <rFont val="WenQuanYi Zen Hei"/>
        <family val="2"/>
      </rPr>
      <t xml:space="preserve">连连数字 — </t>
    </r>
    <r>
      <rPr>
        <sz val="10"/>
        <color rgb="FFC00000"/>
        <rFont val="Arial"/>
        <family val="0"/>
        <charset val="1"/>
      </rPr>
      <t xml:space="preserve">that is LianLian (separate row added)</t>
    </r>
  </si>
  <si>
    <t xml:space="preserve">XTransfer</t>
  </si>
  <si>
    <t xml:space="preserve">Mid-size, Singapore team size to verify</t>
  </si>
  <si>
    <t xml:space="preserve">Chinese-background cross-border trade tech company with an active overseas push</t>
  </si>
  <si>
    <t xml:space="preserve">Verify actual Singapore team size before committing BD resources</t>
  </si>
  <si>
    <t xml:space="preserve">Company information synthesis</t>
  </si>
  <si>
    <t xml:space="preserve">v2.1: upgraded — received MAS Major Payment Institution licence (1 Jan 2025); add AI Risk/Gov</t>
  </si>
  <si>
    <t xml:space="preserve">Airwallex</t>
  </si>
  <si>
    <t xml:space="preserve">空中云汇</t>
  </si>
  <si>
    <t xml:space="preserve">Chinese-heritage founders (Melbourne)</t>
  </si>
  <si>
    <t xml:space="preserve">Large unicorn, Chinese-founding team</t>
  </si>
  <si>
    <t xml:space="preserve">Founded in Melbourne by a Chinese-heritage founding team; Singapore is one of its licensed operating bases, with both governance and data needs</t>
  </si>
  <si>
    <t xml:space="preserve">A licensed fintech company — good fit to pitch both directions at once</t>
  </si>
  <si>
    <t xml:space="preserve">Company background synthesis</t>
  </si>
  <si>
    <t xml:space="preserve">LianLian Global</t>
  </si>
  <si>
    <t xml:space="preserve">连连国际</t>
  </si>
  <si>
    <t xml:space="preserve">Chinese cross-border payments (LianLian DigiTech); SG entity</t>
  </si>
  <si>
    <t xml:space="preserve">Large, HK-listed parent</t>
  </si>
  <si>
    <r>
      <rPr>
        <sz val="10"/>
        <rFont val="Arial"/>
        <family val="0"/>
        <charset val="1"/>
      </rPr>
      <t xml:space="preserve">Cross-border payments compliance; NB v1 mislabelled PingPong as </t>
    </r>
    <r>
      <rPr>
        <sz val="10"/>
        <rFont val="WenQuanYi Zen Hei"/>
        <family val="2"/>
      </rPr>
      <t xml:space="preserve">连连数字 — </t>
    </r>
    <r>
      <rPr>
        <sz val="10"/>
        <rFont val="Arial"/>
        <family val="0"/>
        <charset val="1"/>
      </rPr>
      <t xml:space="preserve">LianLian is a separate company</t>
    </r>
  </si>
  <si>
    <t xml:space="preserve">Same compliance/data pitch as PingPong</t>
  </si>
  <si>
    <t xml:space="preserve">YouTrip</t>
  </si>
  <si>
    <t xml:space="preserve">SG multi-currency wallet; HK-born co-founder (Caecilia Chu)</t>
  </si>
  <si>
    <t xml:space="preserve">Scale-up, MAS-licensed</t>
  </si>
  <si>
    <t xml:space="preserve">Licensed → fraud/AI risk + data needs</t>
  </si>
  <si>
    <t xml:space="preserve">Smaller TA team; pitch DE + fraud ML</t>
  </si>
  <si>
    <t xml:space="preserve">GXS Bank (Grab–Singtel)</t>
  </si>
  <si>
    <t xml:space="preserve">GXS</t>
  </si>
  <si>
    <t xml:space="preserve">Digital bank; engineering staff incl. many China-origin engineers (verify)</t>
  </si>
  <si>
    <t xml:space="preserve">Digital bank</t>
  </si>
  <si>
    <t xml:space="preserve">MAS AI Risk Guidelines 12-month transition</t>
  </si>
  <si>
    <t xml:space="preserve">AI Gov/Risk + DE bundle</t>
  </si>
  <si>
    <t xml:space="preserve">MAS</t>
  </si>
  <si>
    <t xml:space="preserve">MindForge Phase 2 member (MAS)</t>
  </si>
  <si>
    <t xml:space="preserve">TrustDecision (Tongdun International)</t>
  </si>
  <si>
    <t xml:space="preserve">同盾科技</t>
  </si>
  <si>
    <t xml:space="preserve">Hangzhou AI risk-control firm; overseas brand TrustDecision launched in Singapore (2022); Temasek co-led 2017 round</t>
  </si>
  <si>
    <t xml:space="preserve">Overseas brand for fraud / credit / compliance risk; first foreign firm with Indonesia OJK credit-scoring status</t>
  </si>
  <si>
    <t xml:space="preserve">Pure AI Risk vendor — risk-model and anti-fraud engineers; confirm SG headcount</t>
  </si>
  <si>
    <t xml:space="preserve">TechNode Global / PRNewswire Jul 2022; BIIA</t>
  </si>
  <si>
    <t xml:space="preserve">OneConnect (Ping An)</t>
  </si>
  <si>
    <t xml:space="preserve">金融壹账通</t>
  </si>
  <si>
    <t xml:space="preserve">Ping An's fintech SaaS; subsidiaries in Singapore, Indonesia, HK</t>
  </si>
  <si>
    <t xml:space="preserve">Sep 2026: chairman says Chinese fintech going abroad has 'entered a new stage' — SEA banks want AI risk-control infrastructure</t>
  </si>
  <si>
    <t xml:space="preserve">Vendor selling AI risk to SEA banks → AI Risk + delivery engineers; Mandarin-speaking leadership</t>
  </si>
  <si>
    <t xml:space="preserve">Tencent News 15 Sep 2026; Jiemian</t>
  </si>
  <si>
    <t xml:space="preserve">2C2P (Antom / Ant International)</t>
  </si>
  <si>
    <t xml:space="preserve">2C2P</t>
  </si>
  <si>
    <t xml:space="preserve">Ant International-owned payments platform</t>
  </si>
  <si>
    <t xml:space="preserve">Received MAS MPI licence 2025</t>
  </si>
  <si>
    <t xml:space="preserve">Approach together with Ant International contacts</t>
  </si>
  <si>
    <t xml:space="preserve">Fintech News SG 2025</t>
  </si>
  <si>
    <t xml:space="preserve">Green Link Digital Bank</t>
  </si>
  <si>
    <t xml:space="preserve">绿地数字银行</t>
  </si>
  <si>
    <t xml:space="preserve">Digital wholesale bank led by Shanghai's Greenland Financial; MAS-licensed</t>
  </si>
  <si>
    <t xml:space="preserve">Small bank</t>
  </si>
  <si>
    <t xml:space="preserve">MAS AI Risk Guidelines apply to all licensed banks incl. DWBs</t>
  </si>
  <si>
    <t xml:space="preserve">Small but Mandarin-speaking leadership; AI Gov/Risk first hire</t>
  </si>
  <si>
    <t xml:space="preserve">MAS DWB licence announcement (2020)</t>
  </si>
  <si>
    <t xml:space="preserve">Trust Bank (StanChart–FairPrice)</t>
  </si>
  <si>
    <t xml:space="preserve">Trust Bank</t>
  </si>
  <si>
    <t xml:space="preserve">LexinFintech</t>
  </si>
  <si>
    <t xml:space="preserve">乐信</t>
  </si>
  <si>
    <t xml:space="preserve">Shenzhen-based, Nasdaq-listed; started SEA + South America business (limited disclosure)</t>
  </si>
  <si>
    <t xml:space="preserve">Sep 2025: Asian Banker led 30 overseas bankers to see Lexin's AI-agent work; overseas customer-acquisition cost cut ~20%</t>
  </si>
  <si>
    <t xml:space="preserve">AI-agent + risk capabilities marketed overseas — ask about SEA team location</t>
  </si>
  <si>
    <t xml:space="preserve">GlobeNewswire Sep 2025; Jiemian 2025</t>
  </si>
  <si>
    <t xml:space="preserve">Jiayin Group</t>
  </si>
  <si>
    <t xml:space="preserve">嘉银科技</t>
  </si>
  <si>
    <t xml:space="preserve">Shanghai-based, Nasdaq-listed; Indonesia lending business</t>
  </si>
  <si>
    <t xml:space="preserve">Mid-size</t>
  </si>
  <si>
    <t xml:space="preserve">Tripled Indonesia loan volume (2025); pledged further overseas expansion</t>
  </si>
  <si>
    <t xml:space="preserve">Verify whether SEA risk/data team is hired out of SG</t>
  </si>
  <si>
    <t xml:space="preserve">Jiemian 2025</t>
  </si>
  <si>
    <t xml:space="preserve">UnionPay International (Singapore)</t>
  </si>
  <si>
    <t xml:space="preserve">银联国际</t>
  </si>
  <si>
    <t xml:space="preserve">Chinese card network's international arm with SEA presence</t>
  </si>
  <si>
    <t xml:space="preserve">Cross-border payments fraud/risk</t>
  </si>
  <si>
    <t xml:space="preserve">Verify SG tech headcount</t>
  </si>
  <si>
    <t xml:space="preserve">Public information</t>
  </si>
  <si>
    <t xml:space="preserve">Qifu Technology (ex-360 DigiTech)</t>
  </si>
  <si>
    <t xml:space="preserve">奇富科技</t>
  </si>
  <si>
    <t xml:space="preserve">Shanghai-based, Nasdaq/HK-listed credit-tech</t>
  </si>
  <si>
    <t xml:space="preserve">No clear overseas footprint found in public sources</t>
  </si>
  <si>
    <t xml:space="preserve">Radar — watch for overseas launch</t>
  </si>
  <si>
    <t xml:space="preserve">Public filings</t>
  </si>
  <si>
    <t xml:space="preserve">Yiren Digital</t>
  </si>
  <si>
    <t xml:space="preserve">宜人智科</t>
  </si>
  <si>
    <t xml:space="preserve">Beijing-based, NYSE-listed; exploring North America &amp; Middle East</t>
  </si>
  <si>
    <t xml:space="preserve">Expects &gt;10% revenue abroad by 2026 — not SEA-focused</t>
  </si>
  <si>
    <t xml:space="preserve">Pintec</t>
  </si>
  <si>
    <t xml:space="preserve">品钛</t>
  </si>
  <si>
    <t xml:space="preserve">Beijing fintech-tech provider; historic SEA JV activity</t>
  </si>
  <si>
    <t xml:space="preserve">Small</t>
  </si>
  <si>
    <t xml:space="preserve">No current overseas info found</t>
  </si>
  <si>
    <t xml:space="preserve">Akulaku</t>
  </si>
  <si>
    <t xml:space="preserve">Chinese-founded (William Li), Indonesia-based, Ant-backed digital finance</t>
  </si>
  <si>
    <t xml:space="preserve">SEA lending + digital bank stake</t>
  </si>
  <si>
    <t xml:space="preserve">Verify any SG-based tech/risk hiring</t>
  </si>
  <si>
    <t xml:space="preserve">Moomoo (Futu) Singapore</t>
  </si>
  <si>
    <r>
      <rPr>
        <sz val="10"/>
        <rFont val="WenQuanYi Zen Hei"/>
        <family val="2"/>
      </rPr>
      <t xml:space="preserve">富途 </t>
    </r>
    <r>
      <rPr>
        <sz val="10"/>
        <rFont val="Arial"/>
        <family val="0"/>
        <charset val="1"/>
      </rPr>
      <t xml:space="preserve">moomoo</t>
    </r>
  </si>
  <si>
    <t xml:space="preserve">Online Brokerages / Wealth Platforms</t>
  </si>
  <si>
    <t xml:space="preserve">Shenzhen-founded Futu; Moomoo SG is MAS-licensed with very large SG user base</t>
  </si>
  <si>
    <t xml:space="preserve">Large, Nasdaq-listed parent</t>
  </si>
  <si>
    <t xml:space="preserve">MAS-regulated → AI Risk Guidelines; heavy data/AI (AI investing assistant)</t>
  </si>
  <si>
    <t xml:space="preserve">Top new target: Mandarin-speaking management + regulatory deadline + data volume</t>
  </si>
  <si>
    <t xml:space="preserve">MAS FI directory; company website</t>
  </si>
  <si>
    <t xml:space="preserve">Tiger Brokers (UP Fintech) Singapore</t>
  </si>
  <si>
    <t xml:space="preserve">老虎证券</t>
  </si>
  <si>
    <t xml:space="preserve">Chinese-founded; SG is its key international hub</t>
  </si>
  <si>
    <t xml:space="preserve">MAS-licensed; AI features + compliance</t>
  </si>
  <si>
    <t xml:space="preserve">Same pitch as Moomoo — run both in parallel</t>
  </si>
  <si>
    <t xml:space="preserve">Webull Singapore</t>
  </si>
  <si>
    <t xml:space="preserve">Webull</t>
  </si>
  <si>
    <t xml:space="preserve">Founded by ex-Alibaba exec (Wang Anquan); SG licensed entity</t>
  </si>
  <si>
    <t xml:space="preserve">MAS-licensed</t>
  </si>
  <si>
    <t xml:space="preserve">AI Risk/Gov + data</t>
  </si>
  <si>
    <t xml:space="preserve">Longbridge Singapore</t>
  </si>
  <si>
    <t xml:space="preserve">长桥证券</t>
  </si>
  <si>
    <t xml:space="preserve">Chinese online broker expanding SG</t>
  </si>
  <si>
    <t xml:space="preserve">Expansion phase</t>
  </si>
  <si>
    <t xml:space="preserve">Verify MAS licence status/team size</t>
  </si>
  <si>
    <t xml:space="preserve">Bullet</t>
  </si>
  <si>
    <t xml:space="preserve">Crypto / Web3</t>
  </si>
  <si>
    <t xml:space="preserve">Crypto HFT</t>
  </si>
  <si>
    <t xml:space="preserve">Founded by the former Zeta Markets team, backed by top crypto funds including Electric Capital, Jump Capital, Race Capital, and Wintermute</t>
  </si>
  <si>
    <t xml:space="preserve">A newly funded early-stage team, expanding without a mature HR setup yet — high value for agency involvement</t>
  </si>
  <si>
    <t xml:space="preserve">OKX Singapore</t>
  </si>
  <si>
    <t xml:space="preserve">欧易</t>
  </si>
  <si>
    <t xml:space="preserve">Large, Chinese background</t>
  </si>
  <si>
    <t xml:space="preserve">Singapore hiring for roles such as Data Operations Engineer, requiring SQL/Python</t>
  </si>
  <si>
    <t xml:space="preserve">Chinese-background exchange — strong language/culture fit</t>
  </si>
  <si>
    <t xml:space="preserve">Public careers page</t>
  </si>
  <si>
    <t xml:space="preserve">v2: add AI Risk/Gov if SG entity is MAS-licensed (verify)</t>
  </si>
  <si>
    <t xml:space="preserve">Bitdeer</t>
  </si>
  <si>
    <t xml:space="preserve">比特小鹿</t>
  </si>
  <si>
    <t xml:space="preserve">Founded by Jihan Wu (Bitmain co-founder); Singapore HQ, Nasdaq-listed</t>
  </si>
  <si>
    <t xml:space="preserve">Pivoting into AI cloud / HPC on top of mining</t>
  </si>
  <si>
    <t xml:space="preserve">AI infra + data engineers; Mandarin-speaking leadership</t>
  </si>
  <si>
    <t xml:space="preserve">Company filings</t>
  </si>
  <si>
    <t xml:space="preserve">Binance Singapore</t>
  </si>
  <si>
    <t xml:space="preserve">币安</t>
  </si>
  <si>
    <t xml:space="preserve">Founder CZ of Chinese descent</t>
  </si>
  <si>
    <t xml:space="preserve">Mega-scale, one of the world's largest exchanges</t>
  </si>
  <si>
    <t xml:space="preserve">Founded by Changpeng Zhao, who is of Chinese descent; large-scale ongoing hiring in Singapore (287 open roles)</t>
  </si>
  <si>
    <t xml:space="preserve">World's largest exchange with huge headcount volume — the top priority target in this category</t>
  </si>
  <si>
    <t xml:space="preserve">Indeed / Glassdoor job listing statistics</t>
  </si>
  <si>
    <t xml:space="preserve">v2 CAUTION: Binance.sg exited Singapore in 2021 and holds no MAS licence — verify the 287 roles are truly SG-based</t>
  </si>
  <si>
    <t xml:space="preserve">Matrixport Singapore</t>
  </si>
  <si>
    <t xml:space="preserve">Matrixport</t>
  </si>
  <si>
    <t xml:space="preserve">Founded by Jihan Wu (ex-Bitmain); SG core base</t>
  </si>
  <si>
    <t xml:space="preserve">Mid-size, founded by former Bitmain executives</t>
  </si>
  <si>
    <t xml:space="preserve">Founding team has a strong Chinese background; Singapore is its core operating base</t>
  </si>
  <si>
    <t xml:space="preserve">Strong founding-team fit — prioritize outreach</t>
  </si>
  <si>
    <t xml:space="preserve">Amber Group Singapore</t>
  </si>
  <si>
    <t xml:space="preserve">Amber Group</t>
  </si>
  <si>
    <t xml:space="preserve">Chinese-founded crypto fintech; HK/SG</t>
  </si>
  <si>
    <t xml:space="preserve">Mid-size, HK/Singapore dual base</t>
  </si>
  <si>
    <t xml:space="preserve">Chinese-background crypto fintech company continuing to build out its Singapore team</t>
  </si>
  <si>
    <t xml:space="preserve">Verify current specific role needs</t>
  </si>
  <si>
    <t xml:space="preserve">Coinhako</t>
  </si>
  <si>
    <t xml:space="preserve">Singaporean-Chinese co-founders</t>
  </si>
  <si>
    <t xml:space="preserve">Locally licensed exchange, continuing to build data infrastructure</t>
  </si>
  <si>
    <t xml:space="preserve">Licensed entity may also need AI/data-governance talent — pitch both directions as a bundle</t>
  </si>
  <si>
    <t xml:space="preserve">Glassdoor careers page</t>
  </si>
  <si>
    <t xml:space="preserve">Paradex</t>
  </si>
  <si>
    <t xml:space="preserve">Crypto derivatives</t>
  </si>
  <si>
    <t xml:space="preserve">Multiple active data engineering and quant development roles open in Singapore</t>
  </si>
  <si>
    <t xml:space="preserve">An emerging crypto derivatives platform in expansion mode, short decision chain, fast BD conversion</t>
  </si>
  <si>
    <t xml:space="preserve">Cobo</t>
  </si>
  <si>
    <t xml:space="preserve">Chinese-founded digital-asset custody (founders from F2Pool); SG-based</t>
  </si>
  <si>
    <t xml:space="preserve">Custody = security-critical</t>
  </si>
  <si>
    <t xml:space="preserve">Security engineers + data</t>
  </si>
  <si>
    <t xml:space="preserve">Antalpha</t>
  </si>
  <si>
    <t xml:space="preserve">Bitmain-linked crypto lending, SG HQ, Nasdaq IPO 2025</t>
  </si>
  <si>
    <t xml:space="preserve">Newly listed → compliance + risk build-out</t>
  </si>
  <si>
    <t xml:space="preserve">AI/credit risk + data</t>
  </si>
  <si>
    <t xml:space="preserve">IPO filings 2025</t>
  </si>
  <si>
    <t xml:space="preserve">Bitget</t>
  </si>
  <si>
    <t xml:space="preserve">CEO Gracy Chen (Singaporean-Chinese); large Asian team; does not serve SG retail</t>
  </si>
  <si>
    <t xml:space="preserve">Large hiring volume; verify SG-based roles</t>
  </si>
  <si>
    <t xml:space="preserve">Verify SG headcount before BD</t>
  </si>
  <si>
    <t xml:space="preserve">Crypto.com</t>
  </si>
  <si>
    <t xml:space="preserve">SG-HQ'd exchange (non-Chinese founders)</t>
  </si>
  <si>
    <t xml:space="preserve">Large compliance + data teams</t>
  </si>
  <si>
    <t xml:space="preserve">AI Risk / compliance analytics</t>
  </si>
  <si>
    <t xml:space="preserve">Company careers page</t>
  </si>
  <si>
    <t xml:space="preserve">imToken</t>
  </si>
  <si>
    <t xml:space="preserve">Chinese-founded Ethereum wallet; global HQ in Singapore</t>
  </si>
  <si>
    <t xml:space="preserve">Small-to-mid</t>
  </si>
  <si>
    <t xml:space="preserve">SG global HQ</t>
  </si>
  <si>
    <t xml:space="preserve">Wallet security + SWE</t>
  </si>
  <si>
    <t xml:space="preserve">Investing.com / Forkast</t>
  </si>
  <si>
    <t xml:space="preserve">v2.1: split from grouped row 'imToken / TokenPocket / Particle Network'</t>
  </si>
  <si>
    <t xml:space="preserve">TokenPocket</t>
  </si>
  <si>
    <t xml:space="preserve">Chinese-founded multi-chain wallet; SG entity to verify</t>
  </si>
  <si>
    <t xml:space="preserve">Verify activity</t>
  </si>
  <si>
    <t xml:space="preserve">Particle Network</t>
  </si>
  <si>
    <t xml:space="preserve">Chinese-founded Web3 infra; SG entity to verify</t>
  </si>
  <si>
    <t xml:space="preserve">WeRide</t>
  </si>
  <si>
    <t xml:space="preserve">文远知行</t>
  </si>
  <si>
    <t xml:space="preserve">Robotics / Autonomous Driving</t>
  </si>
  <si>
    <t xml:space="preserve">Chinese AV company; runs Ai.R robotaxi service with Grab in Punggol</t>
  </si>
  <si>
    <t xml:space="preserve">Nasdaq-listed</t>
  </si>
  <si>
    <t xml:space="preserve">Live SG deployment with Grab; safety validation + ops data</t>
  </si>
  <si>
    <t xml:space="preserve">AV safety/validation = AI Risk; also simulation &amp; data pipeline engineers</t>
  </si>
  <si>
    <t xml:space="preserve">Bloomberg 20 Sep 2025</t>
  </si>
  <si>
    <t xml:space="preserve">Pony.ai</t>
  </si>
  <si>
    <t xml:space="preserve">小马智行</t>
  </si>
  <si>
    <t xml:space="preserve">Chinese AV company; SG service with ComfortDelGro</t>
  </si>
  <si>
    <t xml:space="preserve">Nasdaq/HK-listed</t>
  </si>
  <si>
    <t xml:space="preserve">Apr 2026: approval for by-invite rides in SG, final phase before public service</t>
  </si>
  <si>
    <t xml:space="preserve">Public launch → local engineering/ops build-out; pitch AV safety + data engineers</t>
  </si>
  <si>
    <t xml:space="preserve">Pony.ai press release Apr 2026</t>
  </si>
  <si>
    <t xml:space="preserve">AgiBot</t>
  </si>
  <si>
    <t xml:space="preserve">智元机器人</t>
  </si>
  <si>
    <t xml:space="preserve">Chinese humanoid-robot leader; entered SG Oct 2025 and expanding</t>
  </si>
  <si>
    <t xml:space="preserve">Steady SG expansion since market entry</t>
  </si>
  <si>
    <t xml:space="preserve">Early relationship — robotics SWE + solutions engineers</t>
  </si>
  <si>
    <t xml:space="preserve">Industry reporting 2026</t>
  </si>
  <si>
    <t xml:space="preserve">Unitree Robotics</t>
  </si>
  <si>
    <t xml:space="preserve">宇树科技</t>
  </si>
  <si>
    <t xml:space="preserve">In 2026 Punggol large-scale robotics trial; investor pitched SG as route to US buyers</t>
  </si>
  <si>
    <t xml:space="preserve">SG trial participation; Shanghai humanoid incubator plans SG branch (Oct 2026)</t>
  </si>
  <si>
    <t xml:space="preserve">Radar → medium if SG entity is set up</t>
  </si>
  <si>
    <t xml:space="preserve">CNBC Aug 2026 (via aggregator); asianews.network</t>
  </si>
  <si>
    <t xml:space="preserve">Geek+</t>
  </si>
  <si>
    <t xml:space="preserve">极智嘉</t>
  </si>
  <si>
    <t xml:space="preserve">Warehouse-robotics leader; offices incl. Singapore</t>
  </si>
  <si>
    <t xml:space="preserve">Large (HK-listed)</t>
  </si>
  <si>
    <t xml:space="preserve">SG office</t>
  </si>
  <si>
    <t xml:space="preserve">Robotics SWE / solutions</t>
  </si>
  <si>
    <t xml:space="preserve">DC Velocity</t>
  </si>
  <si>
    <t xml:space="preserve">v2.1: split from grouped row 'Pudu / Keenon / Gaussian'</t>
  </si>
  <si>
    <t xml:space="preserve">Keenon Robotics</t>
  </si>
  <si>
    <t xml:space="preserve">擎朗智能</t>
  </si>
  <si>
    <t xml:space="preserve">Service-robot maker; used Singapore as launchpad with SoftBank Robotics (2021)</t>
  </si>
  <si>
    <t xml:space="preserve">Unicorn (SoftBank VF2-backed)</t>
  </si>
  <si>
    <t xml:space="preserve">SG launchpad</t>
  </si>
  <si>
    <t xml:space="preserve">Verify SG engineering vs. sales</t>
  </si>
  <si>
    <t xml:space="preserve">SoftBank Robotics APAC 2021</t>
  </si>
  <si>
    <t xml:space="preserve">Pudu Robotics</t>
  </si>
  <si>
    <t xml:space="preserve">普渡科技</t>
  </si>
  <si>
    <t xml:space="preserve">Service-robot maker widely deployed in SG F&amp;B</t>
  </si>
  <si>
    <t xml:space="preserve">No SG entity confirmed</t>
  </si>
  <si>
    <t xml:space="preserve">Verify</t>
  </si>
  <si>
    <t xml:space="preserve">Gaussian Robotics</t>
  </si>
  <si>
    <t xml:space="preserve">高仙机器人</t>
  </si>
  <si>
    <t xml:space="preserve">Cleaning-robot maker with SEA deployments</t>
  </si>
  <si>
    <t xml:space="preserve">Late-stage</t>
  </si>
  <si>
    <t xml:space="preserve">Siasun Robot &amp; Automation</t>
  </si>
  <si>
    <t xml:space="preserve">新松机器人</t>
  </si>
  <si>
    <t xml:space="preserve">Set up an automation company in Singapore (2017)</t>
  </si>
  <si>
    <t xml:space="preserve">SG subsidiary</t>
  </si>
  <si>
    <t xml:space="preserve">Low volume</t>
  </si>
  <si>
    <t xml:space="preserve">China Daily 2018</t>
  </si>
  <si>
    <t xml:space="preserve">Light Robotics</t>
  </si>
  <si>
    <t xml:space="preserve">Robotics start-up by ex-OpenAI engineer; offices in Shenzhen + Singapore</t>
  </si>
  <si>
    <t xml:space="preserve">Dual China/SG footprint (2024)</t>
  </si>
  <si>
    <t xml:space="preserve">Verify still active</t>
  </si>
  <si>
    <t xml:space="preserve">ARPU / Hedder 2024</t>
  </si>
  <si>
    <t xml:space="preserve">v2.1: renamed (was grouped radar row)</t>
  </si>
  <si>
    <t xml:space="preserve">Shanghai humanoid-robot incubator (SG branch)</t>
  </si>
  <si>
    <t xml:space="preserve">上海人形机器人孵化器</t>
  </si>
  <si>
    <t xml:space="preserve">Government-backed Shanghai incubator planning SG branch office from Oct 2026</t>
  </si>
  <si>
    <t xml:space="preserve">Incubator</t>
  </si>
  <si>
    <t xml:space="preserve">SG branch planned Oct 2026 → will bring portfolio companies</t>
  </si>
  <si>
    <t xml:space="preserve">Track which startups land in SG via this branch</t>
  </si>
  <si>
    <t xml:space="preserve">Straits Times May 2026</t>
  </si>
  <si>
    <t xml:space="preserve">HoYoverse (miHoYo) Singapore</t>
  </si>
  <si>
    <t xml:space="preserve">米哈游</t>
  </si>
  <si>
    <t xml:space="preserve">Gaming</t>
  </si>
  <si>
    <t xml:space="preserve">Shanghai HQ; new SG HQ</t>
  </si>
  <si>
    <t xml:space="preserve">Large, newly opened Singapore HQ</t>
  </si>
  <si>
    <t xml:space="preserve">Newly opened Singapore headquarters with large-scale hiring, including Data Analyst/Engineer roles (Genshin Impact, etc.) — one posting drew 200+ applicants</t>
  </si>
  <si>
    <t xml:space="preserve">New-HQ ramp-up is a team-building burst window — prioritize outreach</t>
  </si>
  <si>
    <t xml:space="preserve">GadgetMatch reporting / LinkedIn job listing</t>
  </si>
  <si>
    <t xml:space="preserve">NetEase Games Singapore</t>
  </si>
  <si>
    <t xml:space="preserve">网易游戏</t>
  </si>
  <si>
    <t xml:space="preserve">2026 campus recruitment includes a Singapore Data Analyst role, hiring ongoing</t>
  </si>
  <si>
    <t xml:space="preserve">Approach via both campus and lateral hiring channels</t>
  </si>
  <si>
    <t xml:space="preserve">DevQuest job listing statistics</t>
  </si>
  <si>
    <t xml:space="preserve">Razer</t>
  </si>
  <si>
    <t xml:space="preserve">雷蛇</t>
  </si>
  <si>
    <t xml:space="preserve">Co-founder/CEO Min-Liang Tan (Singaporean-Chinese)</t>
  </si>
  <si>
    <t xml:space="preserve">Singapore HQ, both gaming and payments lines drive data needs</t>
  </si>
  <si>
    <t xml:space="preserve">Gaming-analytics roles are highly competitive — lead with your passive-candidate sourcing advantage</t>
  </si>
  <si>
    <t xml:space="preserve">IGG Singapore</t>
  </si>
  <si>
    <t xml:space="preserve">IGG</t>
  </si>
  <si>
    <t xml:space="preserve">Chinese-background mobile gaming company with a long-standing Singapore team</t>
  </si>
  <si>
    <t xml:space="preserve">Verify current team size and specific role needs</t>
  </si>
  <si>
    <t xml:space="preserve">Public information synthesis</t>
  </si>
  <si>
    <t xml:space="preserve">FunPlus Singapore</t>
  </si>
  <si>
    <t xml:space="preserve">趣加</t>
  </si>
  <si>
    <t xml:space="preserve">Chinese-background mobile gaming company with an overseas team in Singapore</t>
  </si>
  <si>
    <t xml:space="preserve">Verify specific role needs</t>
  </si>
  <si>
    <t xml:space="preserve">Lilith Games Singapore</t>
  </si>
  <si>
    <t xml:space="preserve">莉莉丝</t>
  </si>
  <si>
    <t xml:space="preserve">Chinese-background mobile gaming company's overseas team</t>
  </si>
  <si>
    <t xml:space="preserve">Moonton</t>
  </si>
  <si>
    <t xml:space="preserve">沐瞳科技</t>
  </si>
  <si>
    <t xml:space="preserve">Shanghai-based maker of Mobile Legends (SEA's top MOBA); SEA-focused ops</t>
  </si>
  <si>
    <t xml:space="preserve">SEA is its core market</t>
  </si>
  <si>
    <t xml:space="preserve">Verify SG headcount; game data/anti-cheat engineers</t>
  </si>
  <si>
    <t xml:space="preserve">PatSnap</t>
  </si>
  <si>
    <t xml:space="preserve">智慧芽</t>
  </si>
  <si>
    <t xml:space="preserve">E-commerce / Consumer Tech / SaaS</t>
  </si>
  <si>
    <t xml:space="preserve">SG-founded (Jeffrey Tiong) IP-intelligence/AI company with major R&amp;D in Suzhou/China</t>
  </si>
  <si>
    <t xml:space="preserve">Late-stage unicorn</t>
  </si>
  <si>
    <t xml:space="preserve">Building LLM products (Eureka) on proprietary patent data</t>
  </si>
  <si>
    <t xml:space="preserve">China R&amp;D + SG HQ = Mandarin-speaking hiring managers; pitch data/LLM engineers</t>
  </si>
  <si>
    <r>
      <rPr>
        <b val="true"/>
        <sz val="10"/>
        <rFont val="Arial"/>
        <family val="0"/>
        <charset val="1"/>
      </rPr>
      <t xml:space="preserve">Shoplazza (</t>
    </r>
    <r>
      <rPr>
        <b val="true"/>
        <sz val="10"/>
        <rFont val="WenQuanYi Zen Hei"/>
        <family val="2"/>
      </rPr>
      <t xml:space="preserve">店匠科技</t>
    </r>
    <r>
      <rPr>
        <b val="true"/>
        <sz val="10"/>
        <rFont val="Arial"/>
        <family val="0"/>
        <charset val="1"/>
      </rPr>
      <t xml:space="preserve">)</t>
    </r>
  </si>
  <si>
    <t xml:space="preserve">店匠科技</t>
  </si>
  <si>
    <t xml:space="preserve">Mid-size, Shenzhen/Canada dual HQ</t>
  </si>
  <si>
    <t xml:space="preserve">Leading independent-site SaaS platform with a Singapore office; its outbound-merchant customers have growing data analytics needs</t>
  </si>
  <si>
    <t xml:space="preserve">A mid-size outbound SaaS company whose HR infrastructure is still being built out — fast decisions, good fit for agency involvement</t>
  </si>
  <si>
    <t xml:space="preserve">Company website synthesis</t>
  </si>
  <si>
    <t xml:space="preserve">(Long-tail blue ocean) Singapore-based Chinese cross-border e-commerce / DTC teams</t>
  </si>
  <si>
    <t xml:space="preserve">Chinese outbound founders</t>
  </si>
  <si>
    <t xml:space="preserve">Long-tail, individual teams of 30-300 people</t>
  </si>
  <si>
    <t xml:space="preserve">Singapore hosts a large number of Chinese outbound e-commerce teams (ongoing ad-spend / data-analytics role demand) — a long-tail blue-ocean market for sustained outbound prospecting</t>
  </si>
  <si>
    <t xml:space="preserve">Build touchpoints in bulk via the Singapore Chinese Chamber of Commerce (SCCCI) and outbound-founder communities/events; package a standardized recruiting offer to convert at scale</t>
  </si>
  <si>
    <t xml:space="preserve">Industry observation synthesis</t>
  </si>
  <si>
    <t xml:space="preserve">GoodNotes</t>
  </si>
  <si>
    <t xml:space="preserve">HK-founded (Steven Chan)</t>
  </si>
  <si>
    <t xml:space="preserve">Singapore-HQ'd growth-stage unicorn, engineering team continuing to expand</t>
  </si>
  <si>
    <t xml:space="preserve">Small HR team at a startup — more willing to use an agency to speed up hiring</t>
  </si>
  <si>
    <t xml:space="preserve">Carousell</t>
  </si>
  <si>
    <t xml:space="preserve">SG marketplace, Singaporean-Chinese founders</t>
  </si>
  <si>
    <t xml:space="preserve">Ongoing data/ML for search, trust &amp; safety</t>
  </si>
  <si>
    <t xml:space="preserve">Mid-size TA; open to agencies for senior DE/ML</t>
  </si>
  <si>
    <t xml:space="preserve">Ninja Van</t>
  </si>
  <si>
    <t xml:space="preserve">SG logistics unicorn, Singaporean-Chinese founders</t>
  </si>
  <si>
    <t xml:space="preserve">Logistics data platform, routing optimisation</t>
  </si>
  <si>
    <t xml:space="preserve">Pitch data platform engineers</t>
  </si>
  <si>
    <t xml:space="preserve">Shopline</t>
  </si>
  <si>
    <t xml:space="preserve">HK-founded e-commerce SaaS; chose Singapore as global HQ (2022)</t>
  </si>
  <si>
    <t xml:space="preserve">Scale-up</t>
  </si>
  <si>
    <t xml:space="preserve">SG store count dipped 2025→2026 (627→540) — possible restructuring, verify</t>
  </si>
  <si>
    <t xml:space="preserve">Verify health before investing BD time; could also be a candidate source</t>
  </si>
  <si>
    <t xml:space="preserve">Storeleads; 2022 HQ report</t>
  </si>
  <si>
    <t xml:space="preserve">ShopBack</t>
  </si>
  <si>
    <t xml:space="preserve">SG cashback platform, Malaysian-Chinese co-founder</t>
  </si>
  <si>
    <t xml:space="preserve">Data/marketing-tech heavy</t>
  </si>
  <si>
    <t xml:space="preserve">Medium-size TA, senior DE roles</t>
  </si>
  <si>
    <t xml:space="preserve">J&amp;T Express</t>
  </si>
  <si>
    <t xml:space="preserve">极兔速递</t>
  </si>
  <si>
    <t xml:space="preserve">Chinese logistics giant (HK-listed) with SEA networks</t>
  </si>
  <si>
    <t xml:space="preserve">Large SEA logistics data needs</t>
  </si>
  <si>
    <t xml:space="preserve">Verify whether regional tech/data team sits in SG</t>
  </si>
  <si>
    <t xml:space="preserve">Super Hi International (Haidilao overseas)</t>
  </si>
  <si>
    <t xml:space="preserve">特海国际</t>
  </si>
  <si>
    <t xml:space="preserve">Haidilao's overseas arm, HQ in Paya Lebar, Singapore (Nasdaq/HK-listed)</t>
  </si>
  <si>
    <t xml:space="preserve">SG global HQ for overseas restaurants</t>
  </si>
  <si>
    <t xml:space="preserve">Data/IT team for multi-country ops — smaller roles</t>
  </si>
  <si>
    <t xml:space="preserve">Wikipedia (Haidilao)</t>
  </si>
  <si>
    <t xml:space="preserve">Lalamove</t>
  </si>
  <si>
    <t xml:space="preserve">货拉拉</t>
  </si>
  <si>
    <t xml:space="preserve">HK-founded logistics platform (parent Huolala); SG ops</t>
  </si>
  <si>
    <t xml:space="preserve">Verify SG tech headcount (main tech in HK/China)</t>
  </si>
  <si>
    <t xml:space="preserve">Low priority unless SG tech hub confirmed</t>
  </si>
  <si>
    <t xml:space="preserve">CHAGEE (SEA HQ)</t>
  </si>
  <si>
    <t xml:space="preserve">霸王茶姬</t>
  </si>
  <si>
    <t xml:space="preserve">Chinese tea chain; SEA HQ in Singapore (CHAGEE Group (SEA) Pte. Ltd.)</t>
  </si>
  <si>
    <t xml:space="preserve">SEA expansion run from SG</t>
  </si>
  <si>
    <t xml:space="preserve">Data/digital roles</t>
  </si>
  <si>
    <t xml:space="preserve">Vulcan Post; SG business registry</t>
  </si>
  <si>
    <t xml:space="preserve">Bank of China Singapore</t>
  </si>
  <si>
    <t xml:space="preserve">中国银行</t>
  </si>
  <si>
    <t xml:space="preserve">Banks &amp; Insurers (Chinese)</t>
  </si>
  <si>
    <t xml:space="preserve">Large, long-term stable</t>
  </si>
  <si>
    <t xml:space="preserve">HQ continues its digital transformation; 2026 campus recruitment includes data analysis / frontier tech roles</t>
  </si>
  <si>
    <t xml:space="preserve">Long decision chain but stable long-term relationship; pursue via both campus and lateral hiring channels</t>
  </si>
  <si>
    <t xml:space="preserve">BOC official 2026 campus recruitment announcement</t>
  </si>
  <si>
    <t xml:space="preserve">v2: add AI Gov/AI Risk — MAS AI Risk Guidelines (7 Oct 2026) apply to all regulated FIs incl. Chinese bank branches</t>
  </si>
  <si>
    <t xml:space="preserve">ICBC Singapore</t>
  </si>
  <si>
    <t xml:space="preserve">工商银行</t>
  </si>
  <si>
    <t xml:space="preserve">Sector-wide digital transformation drives data/AI talent demand</t>
  </si>
  <si>
    <t xml:space="preserve">Same approach; emphasize native Mandarin communication advantage</t>
  </si>
  <si>
    <t xml:space="preserve">Industry synthesis</t>
  </si>
  <si>
    <t xml:space="preserve">v2: same MAS AI Risk angle</t>
  </si>
  <si>
    <t xml:space="preserve">China Construction Bank (CCB) Singapore</t>
  </si>
  <si>
    <t xml:space="preserve">建设银行</t>
  </si>
  <si>
    <t xml:space="preserve">Sector-wide digital transformation trend</t>
  </si>
  <si>
    <t xml:space="preserve">Same as above</t>
  </si>
  <si>
    <t xml:space="preserve">Agricultural Bank of China (ABC) Singapore</t>
  </si>
  <si>
    <t xml:space="preserve">HQ has explicitly stated it is accelerating digital/intelligent transformation, deepening AI application and data potential</t>
  </si>
  <si>
    <t xml:space="preserve">Reference HQ's AI transformation strategy as a conversation opener</t>
  </si>
  <si>
    <t xml:space="preserve">ABC public statements synthesis</t>
  </si>
  <si>
    <t xml:space="preserve">China Merchants Bank Singapore</t>
  </si>
  <si>
    <t xml:space="preserve">招商银行</t>
  </si>
  <si>
    <t xml:space="preserve">Mid-to-large</t>
  </si>
  <si>
    <t xml:space="preserve">CMB leads peers in fintech investment; its overseas branch may have more flexible data team hiring needs</t>
  </si>
  <si>
    <t xml:space="preserve">Open with CMB's fintech-leader image and emphasize flexible hiring</t>
  </si>
  <si>
    <t xml:space="preserve">China Taiping Insurance (Singapore)</t>
  </si>
  <si>
    <t xml:space="preserve">中国太平新加坡</t>
  </si>
  <si>
    <t xml:space="preserve">Chinese state-owned insurer with SG subsidiary</t>
  </si>
  <si>
    <t xml:space="preserve">MAS AI Risk Guidelines apply to insurers too</t>
  </si>
  <si>
    <t xml:space="preserve">Insurance lags banks on AI Gov — be their first AI governance hire</t>
  </si>
  <si>
    <t xml:space="preserve">MAS FI directory</t>
  </si>
  <si>
    <t xml:space="preserve">FWD Singapore</t>
  </si>
  <si>
    <t xml:space="preserve">富卫</t>
  </si>
  <si>
    <t xml:space="preserve">Richard Li's HK-based insurer</t>
  </si>
  <si>
    <t xml:space="preserve">Large regional</t>
  </si>
  <si>
    <t xml:space="preserve">MAS AI Risk Guidelines; digital-first insurer</t>
  </si>
  <si>
    <t xml:space="preserve">AI Gov + data</t>
  </si>
  <si>
    <t xml:space="preserve">China Life Insurance (Singapore)</t>
  </si>
  <si>
    <r>
      <rPr>
        <sz val="10"/>
        <rFont val="WenQuanYi Zen Hei"/>
        <family val="2"/>
      </rPr>
      <t xml:space="preserve">中国人寿</t>
    </r>
    <r>
      <rPr>
        <sz val="10"/>
        <rFont val="Arial"/>
        <family val="0"/>
        <charset val="1"/>
      </rPr>
      <t xml:space="preserve">(</t>
    </r>
    <r>
      <rPr>
        <sz val="10"/>
        <rFont val="WenQuanYi Zen Hei"/>
        <family val="2"/>
      </rPr>
      <t xml:space="preserve">新加坡</t>
    </r>
    <r>
      <rPr>
        <sz val="10"/>
        <rFont val="Arial"/>
        <family val="0"/>
        <charset val="1"/>
      </rPr>
      <t xml:space="preserve">)</t>
    </r>
  </si>
  <si>
    <t xml:space="preserve">MAS-licensed life insurer est. 2015, under China Life (Overseas)</t>
  </si>
  <si>
    <t xml:space="preserve">MAS AI Risk Guidelines apply to insurers; digitalisation push</t>
  </si>
  <si>
    <t xml:space="preserve">First AI governance hire; Mandarin-speaking management</t>
  </si>
  <si>
    <t xml:space="preserve">International Finance; InvestHK</t>
  </si>
  <si>
    <t xml:space="preserve">v2.1: new — Chinese insurers in SG</t>
  </si>
  <si>
    <t xml:space="preserve">Bank of Communications Singapore</t>
  </si>
  <si>
    <t xml:space="preserve">交通银行</t>
  </si>
  <si>
    <t xml:space="preserve">Mid-to-large, long-term stable</t>
  </si>
  <si>
    <t xml:space="preserve">Shanghai Pudong Development Bank Singapore</t>
  </si>
  <si>
    <t xml:space="preserve">浦发银行新加坡分行</t>
  </si>
  <si>
    <t xml:space="preserve">Wholesale bank branch (ABS member list)</t>
  </si>
  <si>
    <t xml:space="preserve">Small branch</t>
  </si>
  <si>
    <t xml:space="preserve">MAS AI Risk Guidelines apply to all FIs</t>
  </si>
  <si>
    <t xml:space="preserve">Mandarin-only HQ communication is your edge</t>
  </si>
  <si>
    <t xml:space="preserve">ABS member banks list</t>
  </si>
  <si>
    <t xml:space="preserve">v2.1: split from grouped row 'Chinese bank branches'</t>
  </si>
  <si>
    <t xml:space="preserve">China CITIC Bank International (Singapore)</t>
  </si>
  <si>
    <r>
      <rPr>
        <sz val="10"/>
        <rFont val="WenQuanYi Zen Hei"/>
        <family val="2"/>
      </rPr>
      <t xml:space="preserve">中信银行</t>
    </r>
    <r>
      <rPr>
        <sz val="10"/>
        <rFont val="Arial"/>
        <family val="0"/>
        <charset val="1"/>
      </rPr>
      <t xml:space="preserve">(</t>
    </r>
    <r>
      <rPr>
        <sz val="10"/>
        <rFont val="WenQuanYi Zen Hei"/>
        <family val="2"/>
      </rPr>
      <t xml:space="preserve">国际</t>
    </r>
    <r>
      <rPr>
        <sz val="10"/>
        <rFont val="Arial"/>
        <family val="0"/>
        <charset val="1"/>
      </rPr>
      <t xml:space="preserve">)</t>
    </r>
    <r>
      <rPr>
        <sz val="10"/>
        <rFont val="WenQuanYi Zen Hei"/>
        <family val="2"/>
      </rPr>
      <t xml:space="preserve">新加坡</t>
    </r>
  </si>
  <si>
    <t xml:space="preserve">HK-incorporated CITIC bank, wholesale licence in SG</t>
  </si>
  <si>
    <t xml:space="preserve">MAS AI Risk Guidelines</t>
  </si>
  <si>
    <t xml:space="preserve">China Re (Singapore branch)</t>
  </si>
  <si>
    <t xml:space="preserve">中再集团新加坡分公司</t>
  </si>
  <si>
    <t xml:space="preserve">China Reinsurance's first Asian branch outside China (2016)</t>
  </si>
  <si>
    <t xml:space="preserve">Small team; low volume</t>
  </si>
  <si>
    <t xml:space="preserve">Public reporting 2016</t>
  </si>
  <si>
    <t xml:space="preserve">Huatai Securities (Singapore)</t>
  </si>
  <si>
    <t xml:space="preserve">华泰证券</t>
  </si>
  <si>
    <t xml:space="preserve">Brokerages / Asset Mgmt (Chinese)</t>
  </si>
  <si>
    <t xml:space="preserve">Mid-size, actively expanding</t>
  </si>
  <si>
    <t xml:space="preserve">144 open roles as of Sep 2026 — the highest hiring activity among Chinese brokerages in Singapore, clearly in a team-expansion phase</t>
  </si>
  <si>
    <t xml:space="preserve">High headcount volume is the strongest BD signal here — prioritize outreach</t>
  </si>
  <si>
    <t xml:space="preserve">Workopia careers listing statistics</t>
  </si>
  <si>
    <t xml:space="preserve">CICC Singapore</t>
  </si>
  <si>
    <t xml:space="preserve">中金公司</t>
  </si>
  <si>
    <t xml:space="preserve">Singapore office actively hiring, including secondary markets / legal roles</t>
  </si>
  <si>
    <t xml:space="preserve">Middle/back-office data roles are a steady need; build a long-term relationship</t>
  </si>
  <si>
    <t xml:space="preserve">CICC careers page / LinkedIn</t>
  </si>
  <si>
    <t xml:space="preserve">Guotai Haitong International Singapore</t>
  </si>
  <si>
    <t xml:space="preserve">国泰海通</t>
  </si>
  <si>
    <t xml:space="preserve">Chinese brokerage (merged Guotai Junan + Haitong 2025)</t>
  </si>
  <si>
    <t xml:space="preserve">Post-merger integration in SG (v1 listed Haitong separately)</t>
  </si>
  <si>
    <t xml:space="preserve">Merger = reorganised data/risk teams; ask about combined SG structure</t>
  </si>
  <si>
    <t xml:space="preserve">Public reporting 2025</t>
  </si>
  <si>
    <t xml:space="preserve">Haitong International Securities Singapore</t>
  </si>
  <si>
    <t xml:space="preserve">海通国际</t>
  </si>
  <si>
    <t xml:space="preserve">Singapore office actively hiring</t>
  </si>
  <si>
    <t xml:space="preserve">Approach via middle/back-office data roles</t>
  </si>
  <si>
    <t xml:space="preserve">v2: Guotai Junan + Haitong merged (2025) — see 'Guotai Haitong International' row</t>
  </si>
  <si>
    <t xml:space="preserve">China Galaxy International Singapore</t>
  </si>
  <si>
    <t xml:space="preserve">银河国际</t>
  </si>
  <si>
    <t xml:space="preserve">Parent company operates across 20+ countries; Singapore is one of its regional footholds</t>
  </si>
  <si>
    <t xml:space="preserve">Approach via regional data-team-building angle</t>
  </si>
  <si>
    <t xml:space="preserve">GF Securities (Singapore)</t>
  </si>
  <si>
    <t xml:space="preserve">广发证券</t>
  </si>
  <si>
    <t xml:space="preserve">Mid-size, team size to verify</t>
  </si>
  <si>
    <t xml:space="preserve">Parent company shows clear AI capability investment (per industry reporting); regional team may be following suit</t>
  </si>
  <si>
    <t xml:space="preserve">Verify the Singapore team's actual AI-role needs</t>
  </si>
  <si>
    <t xml:space="preserve">Industry reporting on AI deployment, synthesis</t>
  </si>
  <si>
    <t xml:space="preserve">CLSA (CITIC Securities) Singapore</t>
  </si>
  <si>
    <t xml:space="preserve">中信里昂</t>
  </si>
  <si>
    <t xml:space="preserve">CITIC Securities subsidiary</t>
  </si>
  <si>
    <t xml:space="preserve">MAS-regulated; equities data</t>
  </si>
  <si>
    <t xml:space="preserve">Data/risk roles</t>
  </si>
  <si>
    <r>
      <rPr>
        <b val="true"/>
        <sz val="10"/>
        <rFont val="Arial"/>
        <family val="0"/>
        <charset val="1"/>
      </rPr>
      <t xml:space="preserve">High-Flyer Quant (</t>
    </r>
    <r>
      <rPr>
        <b val="true"/>
        <sz val="10"/>
        <rFont val="WenQuanYi Zen Hei"/>
        <family val="2"/>
      </rPr>
      <t xml:space="preserve">幻方量化</t>
    </r>
    <r>
      <rPr>
        <b val="true"/>
        <sz val="10"/>
        <rFont val="Arial"/>
        <family val="0"/>
        <charset val="1"/>
      </rPr>
      <t xml:space="preserve">, DeepSeek's parent)</t>
    </r>
  </si>
  <si>
    <t xml:space="preserve">幻方量化</t>
  </si>
  <si>
    <t xml:space="preserve">Quant / Trading Firms</t>
  </si>
  <si>
    <t xml:space="preserve">Top-tier, AUM ~$10B</t>
  </si>
  <si>
    <t xml:space="preserve">Amid tightening domestic regulation, top-tier Chinese quant funds are broadly accelerating overseas expansion (HK/Singapore); as DeepSeek's parent, its AI+quant hybrid talent needs are notable, but its Singapore entity/team is unconfirmed</t>
  </si>
  <si>
    <t xml:space="preserve">Lead with "quant + AI hybrid data engineering candidates"; proactively ask about its Singapore expansion plans</t>
  </si>
  <si>
    <t xml:space="preserve">SCMP / public reporting combined; Singapore entity to verify</t>
  </si>
  <si>
    <t xml:space="preserve">MS Capital (Meridian &amp; Saturn Capital)</t>
  </si>
  <si>
    <t xml:space="preserve">Shanghai + Singapore offices</t>
  </si>
  <si>
    <t xml:space="preserve">Mid-size, confirmed Shanghai + Singapore offices</t>
  </si>
  <si>
    <t xml:space="preserve">Already offers China-strategy products to offshore investors; its Singapore office is a core hub for internationalization</t>
  </si>
  <si>
    <t xml:space="preserve">Confirmed Singapore entity — can approach directly; the highest-certainty target in this category</t>
  </si>
  <si>
    <t xml:space="preserve">Industry reporting (confirmed Singapore office)</t>
  </si>
  <si>
    <t xml:space="preserve">Qube Research &amp; Technologies</t>
  </si>
  <si>
    <t xml:space="preserve">Many China-origin quant/eng staff (verify leads)</t>
  </si>
  <si>
    <t xml:space="preserve">Singapore office continuously hiring data/quant infrastructure roles</t>
  </si>
  <si>
    <t xml:space="preserve">Quant firms pay well with strict hiring bars — lead with precision scarce-candidate matching</t>
  </si>
  <si>
    <t xml:space="preserve">Lingjun Investment</t>
  </si>
  <si>
    <t xml:space="preserve">灵均投资</t>
  </si>
  <si>
    <t xml:space="preserve">Top-tier Chinese quant; offices in Hong Kong AND Singapore (2026)</t>
  </si>
  <si>
    <t xml:space="preserve">Top-tier (RMB 10bn+ AUM)</t>
  </si>
  <si>
    <t xml:space="preserve">Feb 2026: SG/HK offices as 'bridgeheads' to launch China/APAC quant strategies for offshore investors; actively recruiting research + compliance talent; SG job posts seen</t>
  </si>
  <si>
    <t xml:space="preserve">Confirmed SG office + active hiring — call now; pitch quant data engineers and compliance/risk</t>
  </si>
  <si>
    <t xml:space="preserve">Sina Finance Feb 2026; Liepin listing</t>
  </si>
  <si>
    <t xml:space="preserve">v2.1: split from grouped row 'Post-2022 mainland quant funds expanding abroad (v1)'</t>
  </si>
  <si>
    <r>
      <rPr>
        <b val="true"/>
        <sz val="10"/>
        <rFont val="Arial"/>
        <family val="0"/>
        <charset val="1"/>
      </rPr>
      <t xml:space="preserve">Ubiquant (</t>
    </r>
    <r>
      <rPr>
        <b val="true"/>
        <sz val="10"/>
        <rFont val="WenQuanYi Zen Hei"/>
        <family val="2"/>
      </rPr>
      <t xml:space="preserve">九坤投资</t>
    </r>
    <r>
      <rPr>
        <b val="true"/>
        <sz val="10"/>
        <rFont val="Arial"/>
        <family val="0"/>
        <charset val="1"/>
      </rPr>
      <t xml:space="preserve">)</t>
    </r>
  </si>
  <si>
    <t xml:space="preserve">九坤投资</t>
  </si>
  <si>
    <t xml:space="preserve">Top-tier, AUM ~$11-13B</t>
  </si>
  <si>
    <t xml:space="preserve">Planning a US office in response to tightening regulation; likely considering Singapore/HK as an APAC hub in parallel</t>
  </si>
  <si>
    <t xml:space="preserve">Approach via industry contacts to learn its overseas expansion timeline</t>
  </si>
  <si>
    <t xml:space="preserve">Public reporting combined; Singapore entity to verify</t>
  </si>
  <si>
    <r>
      <rPr>
        <b val="true"/>
        <sz val="10"/>
        <rFont val="Arial"/>
        <family val="0"/>
        <charset val="1"/>
      </rPr>
      <t xml:space="preserve">Minghong Investment (</t>
    </r>
    <r>
      <rPr>
        <b val="true"/>
        <sz val="10"/>
        <rFont val="WenQuanYi Zen Hei"/>
        <family val="2"/>
      </rPr>
      <t xml:space="preserve">明汯投资</t>
    </r>
    <r>
      <rPr>
        <b val="true"/>
        <sz val="10"/>
        <rFont val="Arial"/>
        <family val="0"/>
        <charset val="1"/>
      </rPr>
      <t xml:space="preserve">)</t>
    </r>
  </si>
  <si>
    <t xml:space="preserve">明汯投资</t>
  </si>
  <si>
    <t xml:space="preserve">Top-tier, already has HK (Jupiter Research) and NY offices</t>
  </si>
  <si>
    <t xml:space="preserve">Exploring new strategy markets such as Japan and India; Singapore is a natural next step in its APAC expansion</t>
  </si>
  <si>
    <t xml:space="preserve">Ask directly about Singapore plans; build an early relationship</t>
  </si>
  <si>
    <t xml:space="preserve">Public reporting combined</t>
  </si>
  <si>
    <t xml:space="preserve">Pinpoint Asset Management</t>
  </si>
  <si>
    <t xml:space="preserve">Chinese-background founders; HK-based</t>
  </si>
  <si>
    <t xml:space="preserve">Mid-size, HK/Singapore footprint</t>
  </si>
  <si>
    <t xml:space="preserve">Chinese-background quant fund founded by veteran hedge fund professionals, active APAC footprint</t>
  </si>
  <si>
    <t xml:space="preserve">Wikipedia / public reporting</t>
  </si>
  <si>
    <t xml:space="preserve">DRW</t>
  </si>
  <si>
    <t xml:space="preserve">Singapore office hiring data engineers</t>
  </si>
  <si>
    <t xml:space="preserve">Same as above — high pay, high bar, small candidate pool</t>
  </si>
  <si>
    <t xml:space="preserve">Tower Research Capital SG</t>
  </si>
  <si>
    <t xml:space="preserve">Large share of China-origin quant/engineering staff industry-wide (verify team leads)</t>
  </si>
  <si>
    <t xml:space="preserve">Pitch low-latency SWE + data engineers</t>
  </si>
  <si>
    <t xml:space="preserve">Jump Trading SG</t>
  </si>
  <si>
    <t xml:space="preserve">As above — verify</t>
  </si>
  <si>
    <t xml:space="preserve">XTX Markets SG</t>
  </si>
  <si>
    <t xml:space="preserve">SG office; large compute/data investments</t>
  </si>
  <si>
    <t xml:space="preserve">Data engineers for research infra</t>
  </si>
  <si>
    <t xml:space="preserve">Squarepoint Capital SG</t>
  </si>
  <si>
    <t xml:space="preserve">Data engineering for alt-data</t>
  </si>
  <si>
    <t xml:space="preserve">Grasshopper</t>
  </si>
  <si>
    <t xml:space="preserve">SG-based prop trading firm (verify leadership)</t>
  </si>
  <si>
    <t xml:space="preserve">SG HQ</t>
  </si>
  <si>
    <t xml:space="preserve">Short decision chain</t>
  </si>
  <si>
    <t xml:space="preserve">Millennium Management (SG)</t>
  </si>
  <si>
    <t xml:space="preserve">Many China-origin PMs/quant devs — verify per pod</t>
  </si>
  <si>
    <t xml:space="preserve">SG platform expansion</t>
  </si>
  <si>
    <t xml:space="preserve">Pod-level hiring, fast decisions</t>
  </si>
  <si>
    <t xml:space="preserve">Industry reporting</t>
  </si>
  <si>
    <t xml:space="preserve">v2.1: split from grouped row 'Millennium / Point72 / Citadel'</t>
  </si>
  <si>
    <t xml:space="preserve">Point72 / Cubist (SG)</t>
  </si>
  <si>
    <t xml:space="preserve">Data engineers for systematic pods</t>
  </si>
  <si>
    <t xml:space="preserve">Citadel / Citadel Securities (SG)</t>
  </si>
  <si>
    <t xml:space="preserve">Data/SWE</t>
  </si>
  <si>
    <t xml:space="preserve">WorldQuant SG</t>
  </si>
  <si>
    <t xml:space="preserve">Data engineers</t>
  </si>
  <si>
    <t xml:space="preserve">Nianqiu (Nianqiu Technology)</t>
  </si>
  <si>
    <t xml:space="preserve">念空科技</t>
  </si>
  <si>
    <t xml:space="preserve">Chinese quant; stated it was preparing a SG fund company + RFMC licence (c. 2023)</t>
  </si>
  <si>
    <t xml:space="preserve">SG fund-set-up plan (older report)</t>
  </si>
  <si>
    <t xml:space="preserve">Verify whether SG entity now operates</t>
  </si>
  <si>
    <t xml:space="preserve">Zhihu / industry article c. 2023</t>
  </si>
  <si>
    <t xml:space="preserve">Balyasny Asset Management (SG)</t>
  </si>
  <si>
    <t xml:space="preserve">Wintermute (SG)</t>
  </si>
  <si>
    <t xml:space="preserve">Crypto market-maker, SG office</t>
  </si>
  <si>
    <t xml:space="preserve">v2.1: split from grouped row 'Wintermute / Flow Traders'</t>
  </si>
  <si>
    <t xml:space="preserve">Flow Traders (SG)</t>
  </si>
  <si>
    <t xml:space="preserve">Black Wing Asset Management</t>
  </si>
  <si>
    <t xml:space="preserve">黑翼资产</t>
  </si>
  <si>
    <t xml:space="preserve">Chinese quant with HK Type 9 licence; internationalising USD A-share products</t>
  </si>
  <si>
    <t xml:space="preserve">RMB 10bn+ AUM</t>
  </si>
  <si>
    <t xml:space="preserve">Overseas push via HK; SG not confirmed</t>
  </si>
  <si>
    <t xml:space="preserve">Radar — ask whether SG is next</t>
  </si>
  <si>
    <t xml:space="preserve">Sina Finance 2025</t>
  </si>
  <si>
    <t xml:space="preserve">Kuande Investment</t>
  </si>
  <si>
    <t xml:space="preserve">宽德投资</t>
  </si>
  <si>
    <t xml:space="preserve">Chinese quant with New York office</t>
  </si>
  <si>
    <t xml:space="preserve">Overseas office in NY; SG not confirmed</t>
  </si>
  <si>
    <t xml:space="preserve">CLS / Sina 2025</t>
  </si>
  <si>
    <t xml:space="preserve">Trend Micro (SG)</t>
  </si>
  <si>
    <t xml:space="preserve">趋势科技</t>
  </si>
  <si>
    <t xml:space="preserve">Cybersecurity / AI Security</t>
  </si>
  <si>
    <t xml:space="preserve">Founded by Taiwanese founders (Eva Chen et al.); APAC presence in SG</t>
  </si>
  <si>
    <t xml:space="preserve">AI security products (agent/LLM protection)</t>
  </si>
  <si>
    <t xml:space="preserve">AI security engineers / researchers</t>
  </si>
  <si>
    <t xml:space="preserve">Sangfor Technologies (International)</t>
  </si>
  <si>
    <t xml:space="preserve">深信服</t>
  </si>
  <si>
    <t xml:space="preserve">Shenzhen cybersecurity/cloud vendor; SEA offices incl. SG</t>
  </si>
  <si>
    <t xml:space="preserve">SEA expansion</t>
  </si>
  <si>
    <t xml:space="preserve">Mandarin-speaking management; security + cloud engineers</t>
  </si>
  <si>
    <t xml:space="preserve">Group-IB</t>
  </si>
  <si>
    <t xml:space="preserve">Global HQ in Singapore</t>
  </si>
  <si>
    <t xml:space="preserve">Fraud intelligence + threat intel</t>
  </si>
  <si>
    <t xml:space="preserve">AI Security / fraud-ML</t>
  </si>
  <si>
    <t xml:space="preserve">Ensign InfoSecurity</t>
  </si>
  <si>
    <t xml:space="preserve">Temasek-owned; large Chinese-Singaporean engineering staff</t>
  </si>
  <si>
    <t xml:space="preserve">AI-driven SOC + AI security services</t>
  </si>
  <si>
    <t xml:space="preserve">AI security engineers; GLC → steady relationship</t>
  </si>
  <si>
    <t xml:space="preserve">Unnamed AI red-team security consultancy (Fuku listing)</t>
  </si>
  <si>
    <t xml:space="preserve">High-growth security consultancy hiring AI red-teamers on-site in SG</t>
  </si>
  <si>
    <t xml:space="preserve">Jul 2026: AI red-teaming consultant role</t>
  </si>
  <si>
    <t xml:space="preserve">Identify the firm, then pitch AI red-team niche</t>
  </si>
  <si>
    <t xml:space="preserve">Workable listing Jul 2026</t>
  </si>
  <si>
    <t xml:space="preserve">v2.1: renamed</t>
  </si>
  <si>
    <t xml:space="preserve">Palo Alto Networks (APAC HQ SG)</t>
  </si>
  <si>
    <t xml:space="preserve">Acquired Protect AI (AI security)</t>
  </si>
  <si>
    <t xml:space="preserve">AI security product line growing</t>
  </si>
  <si>
    <t xml:space="preserve">Senior AI security specialists</t>
  </si>
  <si>
    <t xml:space="preserve">Public reporting</t>
  </si>
  <si>
    <t xml:space="preserve">Acronis</t>
  </si>
  <si>
    <t xml:space="preserve">SG-HQ'd cyber-protection vendor</t>
  </si>
  <si>
    <t xml:space="preserve">Security SWE</t>
  </si>
  <si>
    <t xml:space="preserve">EY Singapore</t>
  </si>
  <si>
    <t xml:space="preserve">AI Governance / Assurance / Consulting</t>
  </si>
  <si>
    <t xml:space="preserve">Consulting</t>
  </si>
  <si>
    <t xml:space="preserve">Hiring a Senior Associate/Manager (AI Governance) - Risk Consulting, serving clients on AI governance/risk assessments</t>
  </si>
  <si>
    <t xml:space="preserve">The Big Four firms are themselves expanding AI governance consulting teams and are short-staffed — can be developed into a direct agency client, not just a source of client-leads</t>
  </si>
  <si>
    <t xml:space="preserve">LinkedIn Jobs 4047834475</t>
  </si>
  <si>
    <t xml:space="preserve">PwC Singapore</t>
  </si>
  <si>
    <t xml:space="preserve">Investing $1B globally in AI capability, focused on governance consulting for regulated industries (finance/public sector)</t>
  </si>
  <si>
    <t xml:space="preserve">Large-scale investment typically comes with ongoing hiring needs; lead with "regulated-industry AI governance specialists"</t>
  </si>
  <si>
    <t xml:space="preserve">KPMG Singapore</t>
  </si>
  <si>
    <t xml:space="preserve">KPMG has made responsible AI a core consulting practice; its Digital Village focuses on serving MNCs and GLCs</t>
  </si>
  <si>
    <t xml:space="preserve">Entry point: staffing gaps on governance delivery projects for MNC/GLC clients</t>
  </si>
  <si>
    <t xml:space="preserve">Deloitte Singapore</t>
  </si>
  <si>
    <t xml:space="preserve">Investing $3B through 2030, has already trained 25,000+ AI-credentialed professionals, team continuing to scale</t>
  </si>
  <si>
    <t xml:space="preserve">Large-scale expansion projects typically carry ongoing hiring gaps</t>
  </si>
  <si>
    <t xml:space="preserve">Accenture Singapore</t>
  </si>
  <si>
    <t xml:space="preserve">AI consulting practice continuing to expand, serving regional clients' AI governance projects</t>
  </si>
  <si>
    <t xml:space="preserve">Same logic as the Big Four — prioritize the delivery-side staffing gap as an entry point</t>
  </si>
  <si>
    <t xml:space="preserve">Resaro</t>
  </si>
  <si>
    <t xml:space="preserve">Independent AI assurance provider, co-HQ Singapore &amp; Germany; IMDA Spark; AI Verify Foundation member</t>
  </si>
  <si>
    <t xml:space="preserve">Small (~17 staff listed)</t>
  </si>
  <si>
    <t xml:space="preserve">Temus partnership; hosted ATxSG AI assurance roundtable May 2026</t>
  </si>
  <si>
    <t xml:space="preserve">Pure AI governance/assurance — small but every hire is your niche</t>
  </si>
  <si>
    <t xml:space="preserve">resaro.ai; Built In Singapore</t>
  </si>
  <si>
    <t xml:space="preserve">Temus</t>
  </si>
  <si>
    <t xml:space="preserve">Temasek-backed digital transformation firm; partnered Resaro on trustworthy AI</t>
  </si>
  <si>
    <t xml:space="preserve">Exec appointments Sep 2025; AI delivery for public sector</t>
  </si>
  <si>
    <t xml:space="preserve">AI Gov + data delivery staff</t>
  </si>
  <si>
    <t xml:space="preserve">Malay Mail / Vietnam News Sep 2025</t>
  </si>
  <si>
    <t xml:space="preserve">DCITS (Digital China Information Service)</t>
  </si>
  <si>
    <t xml:space="preserve">神州信息</t>
  </si>
  <si>
    <t xml:space="preserve">Chinese core-banking vendor; international debut at Singapore Fintech Festival 2024 (Sm@rtOneBank)</t>
  </si>
  <si>
    <t xml:space="preserve">Claims 20 international bank clients incl. SEA; MUFG (China) deal</t>
  </si>
  <si>
    <t xml:space="preserve">Delivery engineers for SEA bank projects</t>
  </si>
  <si>
    <t xml:space="preserve">TechNode Global / PRNewswire 2024</t>
  </si>
  <si>
    <t xml:space="preserve">v2.1: split from grouped row 'Chinese IT services vendors'</t>
  </si>
  <si>
    <t xml:space="preserve">Sunline Technology</t>
  </si>
  <si>
    <t xml:space="preserve">长亮科技</t>
  </si>
  <si>
    <t xml:space="preserve">Shenzhen core-banking software vendor with Singapore office</t>
  </si>
  <si>
    <t xml:space="preserve">SEA digital-bank projects</t>
  </si>
  <si>
    <t xml:space="preserve">Delivery / product engineers</t>
  </si>
  <si>
    <t xml:space="preserve">InvestHK profile</t>
  </si>
  <si>
    <t xml:space="preserve">Pactera</t>
  </si>
  <si>
    <t xml:space="preserve">文思海辉</t>
  </si>
  <si>
    <t xml:space="preserve">Chinese IT services; delivery location in Singapore; banking &amp; insurance clients</t>
  </si>
  <si>
    <t xml:space="preserve">Contractor demand on bank projects</t>
  </si>
  <si>
    <t xml:space="preserve">C2H / contract DE &amp; SWE</t>
  </si>
  <si>
    <t xml:space="preserve">Investing.com profile</t>
  </si>
  <si>
    <t xml:space="preserve">Chinasoft International</t>
  </si>
  <si>
    <t xml:space="preserve">中软国际</t>
  </si>
  <si>
    <t xml:space="preserve">Chinese IT services (HK-listed)</t>
  </si>
  <si>
    <t xml:space="preserve">SG presence to verify</t>
  </si>
  <si>
    <t xml:space="preserve">iSoftStone</t>
  </si>
  <si>
    <t xml:space="preserve">软通动力</t>
  </si>
  <si>
    <t xml:space="preserve">Chinese IT services; banking focus mainly China</t>
  </si>
  <si>
    <t xml:space="preserve">Fierce Wireless</t>
  </si>
  <si>
    <t xml:space="preserve">Yusys Technologies</t>
  </si>
  <si>
    <t xml:space="preserve">宇信科技</t>
  </si>
  <si>
    <t xml:space="preserve">Chinese banking-software vendor</t>
  </si>
  <si>
    <t xml:space="preserve">DBS Bank</t>
  </si>
  <si>
    <t xml:space="preserve">Banks &amp; Insurers (Non-Chinese) — AI Risk / MRM</t>
  </si>
  <si>
    <t xml:space="preserve">Banking</t>
  </si>
  <si>
    <t xml:space="preserve">MAS issued its AI Risk Management Guidelines (7 Oct 2026) with a 12-month transition period; DBS has a Data &amp; AI Risk team in its Risk Management Group, and separately hires AVP/VP AI Governance roles under Transformation &amp; Data / Group COO</t>
  </si>
  <si>
    <t xml:space="preserve">Emphasize the urgency created by the compliance deadline; since DBS roles are split across two teams (Risk vs. Transformation), pitch a "unified cross-team candidate shortlist" angle</t>
  </si>
  <si>
    <t xml:space="preserve">MAS website 2026-10-07 press release; DBS careers page</t>
  </si>
  <si>
    <t xml:space="preserve">UOB</t>
  </si>
  <si>
    <t xml:space="preserve">Set up a centralized Line 2 function, "AI &amp; Data Risk Governance &amp; Control," and is hiring a VP Advanced AI Risk Specialist to handle Agentic AI/GenAI risk assessment and validation methodology research</t>
  </si>
  <si>
    <t xml:space="preserve">Agentic AI governance is an extremely new niche with scarce talent; offer cross-industry candidates who are not purely banking-background but understand ML validation</t>
  </si>
  <si>
    <t xml:space="preserve">UOB Workday careers page JR94868</t>
  </si>
  <si>
    <t xml:space="preserve">Prudential (PACS)</t>
  </si>
  <si>
    <t xml:space="preserve">Insurance</t>
  </si>
  <si>
    <t xml:space="preserve">Hiring a Senior/Manager AI Governance role covering the full AI system lifecycle, from registration, risk assessment and approval through to monitoring and recertification</t>
  </si>
  <si>
    <t xml:space="preserve">Insurance-sector AI governance generally lags banking; talent supply is scarcer — pitch "banking-background AI governance talent moving into insurance" as a differentiator</t>
  </si>
  <si>
    <t xml:space="preserve">Prudential Workday careers page</t>
  </si>
  <si>
    <t xml:space="preserve">OCBC Bank</t>
  </si>
  <si>
    <t xml:space="preserve">The Group Data Management Office (GDMO) is hiring an AI Governance Analyst (1-year contract), showing OCBC folds AI governance into its data governance structure, with team design still in flux</t>
  </si>
  <si>
    <t xml:space="preserve">The contract nature signals the team structure isn't fixed yet — pitch a "trial secondment, convert to permanent later" model to lower the client's decision threshold</t>
  </si>
  <si>
    <t xml:space="preserve">OCBC careers page</t>
  </si>
  <si>
    <t xml:space="preserve">Standard Chartered</t>
  </si>
  <si>
    <t xml:space="preserve">Large China/HK franchise (verify AI-risk leads)</t>
  </si>
  <si>
    <t xml:space="preserve">Hiring a Director, Strategic &amp; Emerging Risks (AI &amp; ML) under OTCR</t>
  </si>
  <si>
    <t xml:space="preserve">StanChart favors senior risk-background talent with AI knowledge; emphasize your pool of cross-industry hybrid-background candidates</t>
  </si>
  <si>
    <t xml:space="preserve">Standard Chartered careers page</t>
  </si>
  <si>
    <t xml:space="preserve">HSBC (Singapore)</t>
  </si>
  <si>
    <t xml:space="preserve">HK-rooted bank; many Mandarin-speaking managers (verify)</t>
  </si>
  <si>
    <t xml:space="preserve">Singapore office continues to post AI-related roles; building out a regionalized AI governance team</t>
  </si>
  <si>
    <t xml:space="preserve">Entry point: regional HQ AI governance team-building needs, build an early relationship</t>
  </si>
  <si>
    <t xml:space="preserve">Indeed / HSBC careers page</t>
  </si>
  <si>
    <t xml:space="preserve">AIA Singapore</t>
  </si>
  <si>
    <t xml:space="preserve">HK-headquartered insurer</t>
  </si>
  <si>
    <t xml:space="preserve">No public AI Governance-specific role seen yet, but as a MAS-regulated insurance leader it will likely follow MindForge framework requirements</t>
  </si>
  <si>
    <t xml:space="preserve">Proactively reach out to ask about current team plans; build an early relationship ahead of its "first hire"</t>
  </si>
  <si>
    <t xml:space="preserve">Industry analysis; recommend direct verification</t>
  </si>
  <si>
    <t xml:space="preserve">Citi Singapore</t>
  </si>
  <si>
    <t xml:space="preserve">Large China-origin MRM/quant population (verify)</t>
  </si>
  <si>
    <t xml:space="preserve">MAS guidelines + global MRM hub roles</t>
  </si>
  <si>
    <t xml:space="preserve">Model risk / AI validation specialists</t>
  </si>
  <si>
    <t xml:space="preserve">JPMorgan Singapore</t>
  </si>
  <si>
    <t xml:space="preserve">MAS guidelines</t>
  </si>
  <si>
    <t xml:space="preserve">AI model risk</t>
  </si>
  <si>
    <t xml:space="preserve">MUFG Bank (SG)</t>
  </si>
  <si>
    <t xml:space="preserve">Japanese bank</t>
  </si>
  <si>
    <t xml:space="preserve">MindForge Phase 2 member; MAS AI Risk Guidelines</t>
  </si>
  <si>
    <t xml:space="preserve">AI Gov / model risk</t>
  </si>
  <si>
    <t xml:space="preserve">MAS Project MindForge page</t>
  </si>
  <si>
    <t xml:space="preserve">v2.1: split from grouped row 'Remaining Project MindForge members (v1)' — MindForge Phase 2 member</t>
  </si>
  <si>
    <t xml:space="preserve">SMBC (SG)</t>
  </si>
  <si>
    <t xml:space="preserve">MindForge Phase 2 member</t>
  </si>
  <si>
    <t xml:space="preserve">UBS (SG)</t>
  </si>
  <si>
    <t xml:space="preserve">Wealth hub</t>
  </si>
  <si>
    <t xml:space="preserve">MindForge Phase 2 member; GenAI for RMs</t>
  </si>
  <si>
    <t xml:space="preserve">AI Gov for wealth GenAI use cases</t>
  </si>
  <si>
    <t xml:space="preserve">Julius Baer (SG)</t>
  </si>
  <si>
    <t xml:space="preserve">Maybank (SG)</t>
  </si>
  <si>
    <t xml:space="preserve">Malaysian bank</t>
  </si>
  <si>
    <t xml:space="preserve">AI Gov/Risk</t>
  </si>
  <si>
    <t xml:space="preserve">HSBC Life (SG)</t>
  </si>
  <si>
    <t xml:space="preserve">HK-rooted insurer</t>
  </si>
  <si>
    <t xml:space="preserve">AI Gov in insurance</t>
  </si>
  <si>
    <t xml:space="preserve">Manulife (SG)</t>
  </si>
  <si>
    <t xml:space="preserve">Insurer</t>
  </si>
  <si>
    <t xml:space="preserve">AI Gov first hires</t>
  </si>
  <si>
    <t xml:space="preserve">BlackRock (SG)</t>
  </si>
  <si>
    <t xml:space="preserve">Asset manager</t>
  </si>
  <si>
    <t xml:space="preserve">MindForge Phase 2 member; launching quant fund trading SG stocks (Mar 2026)</t>
  </si>
  <si>
    <t xml:space="preserve">MAS MindForge page; Bloomberg 31 Mar 2026</t>
  </si>
  <si>
    <t xml:space="preserve">Eastspring Investments</t>
  </si>
  <si>
    <t xml:space="preserve">Prudential's asset manager, SG HQ</t>
  </si>
  <si>
    <t xml:space="preserve">CIMB (SG)</t>
  </si>
  <si>
    <t xml:space="preserve">MAS AI Risk Guidelines (not a MindForge member)</t>
  </si>
  <si>
    <t xml:space="preserve">v2.1: split from grouped row 'Maybank / CIMB'</t>
  </si>
  <si>
    <t xml:space="preserve">Singlife</t>
  </si>
  <si>
    <t xml:space="preserve">Insurer (Sumitomo Life-owned)</t>
  </si>
  <si>
    <t xml:space="preserve">Industry analysis</t>
  </si>
  <si>
    <t xml:space="preserve">v2.1: split from grouped row 'Manulife / Singlife'</t>
  </si>
  <si>
    <t xml:space="preserve">MSIG (SG)</t>
  </si>
  <si>
    <t xml:space="preserve">Munich Re (SG)</t>
  </si>
  <si>
    <t xml:space="preserve">Reinsurer, APAC hub</t>
  </si>
  <si>
    <t xml:space="preserve">AI Gov / risk analytics</t>
  </si>
  <si>
    <t xml:space="preserve">Great Eastern Life</t>
  </si>
  <si>
    <t xml:space="preserve">OCBC-owned insurer</t>
  </si>
  <si>
    <t xml:space="preserve">MindForge Phase 2 member; expected to follow MAS pressure (v1)</t>
  </si>
  <si>
    <t xml:space="preserve">Early positioning + regular follow-up</t>
  </si>
  <si>
    <t xml:space="preserve">v2.1: split from grouped row 'Great Eastern / Income Insurance (v1)' — MindForge member</t>
  </si>
  <si>
    <t xml:space="preserve">Income Insurance</t>
  </si>
  <si>
    <t xml:space="preserve">Local insurer</t>
  </si>
  <si>
    <t xml:space="preserve">State Street (SG)</t>
  </si>
  <si>
    <t xml:space="preserve">Custodian bank</t>
  </si>
  <si>
    <t xml:space="preserve">AI Gov / risk</t>
  </si>
  <si>
    <t xml:space="preserve">Visa (SG)</t>
  </si>
  <si>
    <t xml:space="preserve">Payment network, APAC AI-fraud team</t>
  </si>
  <si>
    <t xml:space="preserve">AI fraud detection</t>
  </si>
  <si>
    <t xml:space="preserve">AI Risk / fraud ML</t>
  </si>
  <si>
    <t xml:space="preserve">v2.1: split from grouped row 'Visa / Mastercard'</t>
  </si>
  <si>
    <t xml:space="preserve">Mastercard (SG)</t>
  </si>
  <si>
    <t xml:space="preserve">Argus Media</t>
  </si>
  <si>
    <t xml:space="preserve">Enterprise / Data / Infra Tech</t>
  </si>
  <si>
    <t xml:space="preserve">Commodities data</t>
  </si>
  <si>
    <t xml:space="preserve">Singapore office hiring data engineers; data/information services are its core business</t>
  </si>
  <si>
    <t xml:space="preserve">Data is the core business and hiring bar is high — good fit for deep specialization in this niche</t>
  </si>
  <si>
    <t xml:space="preserve">Applied Materials (Singapore)</t>
  </si>
  <si>
    <t xml:space="preserve">Semiconductor</t>
  </si>
  <si>
    <t xml:space="preserve">Singapore continuously posting data engineer roles</t>
  </si>
  <si>
    <t xml:space="preserve">Traditional large-company hiring cycles are longer — good fit for a long-term relationship play</t>
  </si>
  <si>
    <t xml:space="preserve">Glassdoor / Jobstreet</t>
  </si>
  <si>
    <t xml:space="preserve">SGX Group</t>
  </si>
  <si>
    <t xml:space="preserve">Exchange operator</t>
  </si>
  <si>
    <t xml:space="preserve">MAS-regulated; data + AI governance</t>
  </si>
  <si>
    <t xml:space="preserve">AI Gov + DE</t>
  </si>
  <si>
    <t xml:space="preserve">DayOne (ex-GDS International)</t>
  </si>
  <si>
    <t xml:space="preserve">万国数据国际</t>
  </si>
  <si>
    <t xml:space="preserve">GDS's international data-centre arm, SG-based</t>
  </si>
  <si>
    <t xml:space="preserve">AI data-centre build-out in Johor/SG</t>
  </si>
  <si>
    <t xml:space="preserve">Infra/software for DC ops — low DE fit</t>
  </si>
  <si>
    <t xml:space="preserve">OpenAI Singapore</t>
  </si>
  <si>
    <t xml:space="preserve">Jul 2026 AI Deployment Engineer (Cyber) role</t>
  </si>
  <si>
    <t xml:space="preserve">Low agency usage; good for market intel</t>
  </si>
  <si>
    <t xml:space="preserve">Choppingblock listing Jul 2026</t>
  </si>
  <si>
    <t xml:space="preserve">Salesforce AI Research Singapore</t>
  </si>
  <si>
    <t xml:space="preserve">Research lab with many Chinese researchers (verify leads)</t>
  </si>
  <si>
    <t xml:space="preserve">SG AI research centre</t>
  </si>
  <si>
    <t xml:space="preserve">Research engineers; low agency usage</t>
  </si>
  <si>
    <t xml:space="preserve">KrASIA</t>
  </si>
  <si>
    <t xml:space="preserve">Singapore Technologies Engineering (ST Engineering)</t>
  </si>
  <si>
    <t xml:space="preserve">Public Sector / GLC / Sovereign</t>
  </si>
  <si>
    <t xml:space="preserve">Defense tech</t>
  </si>
  <si>
    <t xml:space="preserve">Large local company, continuous hiring</t>
  </si>
  <si>
    <t xml:space="preserve">A government-linked entity — good fit for a stable, long-term partnership</t>
  </si>
  <si>
    <t xml:space="preserve">GIC</t>
  </si>
  <si>
    <t xml:space="preserve">Sovereign wealth fund</t>
  </si>
  <si>
    <t xml:space="preserve">Exec-search style pitch; long cycle</t>
  </si>
  <si>
    <t xml:space="preserve">v2.1: split from grouped row 'GIC / Temasek' — MindForge member</t>
  </si>
  <si>
    <t xml:space="preserve">Mediacorp</t>
  </si>
  <si>
    <t xml:space="preserve">Media</t>
  </si>
  <si>
    <t xml:space="preserve">Local media company's digital transformation drives ongoing data/analytics hiring</t>
  </si>
  <si>
    <t xml:space="preserve">GLC digital-transformation demand is steady — good for mid-to-long-term positioning</t>
  </si>
  <si>
    <t xml:space="preserve">Jobstreet</t>
  </si>
  <si>
    <t xml:space="preserve">GovTech Singapore</t>
  </si>
  <si>
    <t xml:space="preserve">Large Chinese-Singaporean engineering staff</t>
  </si>
  <si>
    <t xml:space="preserve">AI products for government</t>
  </si>
  <si>
    <t xml:space="preserve">Direct hiring via Careers@Gov — market intel / candidate source</t>
  </si>
  <si>
    <t xml:space="preserve">careers.gov.sg</t>
  </si>
  <si>
    <t xml:space="preserve">v2.1: split from grouped row 'Public sector'</t>
  </si>
  <si>
    <t xml:space="preserve">HTX (Home Team Science &amp; Technology)</t>
  </si>
  <si>
    <t xml:space="preserve">2026: Adversarial AI engineer (xCyber), closed Jun 2026</t>
  </si>
  <si>
    <t xml:space="preserve">Candidate source for AI security</t>
  </si>
  <si>
    <t xml:space="preserve">careers.gov.sg 2026</t>
  </si>
  <si>
    <t xml:space="preserve">Cyber Security Agency (CSA)</t>
  </si>
  <si>
    <t xml:space="preserve">2026: AI security consultant (contract), closed May 2026</t>
  </si>
  <si>
    <t xml:space="preserve">Candidate source</t>
  </si>
  <si>
    <t xml:space="preserve">DSTA</t>
  </si>
  <si>
    <t xml:space="preserve">Defence tech</t>
  </si>
  <si>
    <t xml:space="preserve">IMDA / AI Verify Foundation</t>
  </si>
  <si>
    <t xml:space="preserve">Sets AI governance standards (AI Verify, Spark programme)</t>
  </si>
  <si>
    <t xml:space="preserve">Use for market intel + network into AI assurance firms</t>
  </si>
  <si>
    <t xml:space="preserve">IMDA blog Feb 2026</t>
  </si>
  <si>
    <t xml:space="preserve">Temasek</t>
  </si>
  <si>
    <t xml:space="preserve">Sovereign investor</t>
  </si>
  <si>
    <t xml:space="preserve">AI/data platform teams</t>
  </si>
  <si>
    <t xml:space="preserve">Long cycle</t>
  </si>
  <si>
    <t xml:space="preserve">v2.1: split from grouped row 'GIC / Temasek'</t>
  </si>
  <si>
    <t xml:space="preserve">LinkedIn Recruiter — Search Plan (one row per company; paste the strings into Recruiter's filters)</t>
  </si>
  <si>
    <t xml:space="preserve">How to use: in Recruiter, open the project → Search → Current company = column C, Location = Singapore, Job titles (Boolean) = column F for hiring managers, then column G for TA/HR. Save the 2-4 best people per company into the project. Column I opens a regular LinkedIn people search (pre-filtered to Singapore) for a quick check. Yellow columns are yours.</t>
  </si>
  <si>
    <t xml:space="preserve">LinkedIn company filter (check exact page)</t>
  </si>
  <si>
    <t xml:space="preserve">Project / Tag</t>
  </si>
  <si>
    <t xml:space="preserve">Hiring-manager titles (Boolean)</t>
  </si>
  <si>
    <t xml:space="preserve">TA / HR titles (Boolean)</t>
  </si>
  <si>
    <t xml:space="preserve">Founder string (startups)</t>
  </si>
  <si>
    <t xml:space="preserve">Quick LinkedIn search</t>
  </si>
  <si>
    <t xml:space="preserve">Template (1st msg)</t>
  </si>
  <si>
    <t xml:space="preserve">Language</t>
  </si>
  <si>
    <t xml:space="preserve"># people saved</t>
  </si>
  <si>
    <t xml:space="preserve">Names saved / notes</t>
  </si>
  <si>
    <t xml:space="preserve">Status</t>
  </si>
  <si>
    <t xml:space="preserve">BD-W1 High</t>
  </si>
  <si>
    <t xml:space="preserve">("head of data" OR "data engineering manager" OR "director of data" OR "data platform" OR "head of data engineering" OR "chief data officer" OR CTO OR "VP engineering" OR "head of engineering" OR "engineering director" OR "engineering manager")</t>
  </si>
  <si>
    <t xml:space="preserve">("talent acquisition" OR recruiter OR "recruitment" OR HRBP OR "head of HR" OR "people partner" OR "human resources")</t>
  </si>
  <si>
    <t xml:space="preserve">(founder OR "co-founder" OR CEO)</t>
  </si>
  <si>
    <t xml:space="preserve">Open search</t>
  </si>
  <si>
    <t xml:space="preserve">T2-CN</t>
  </si>
  <si>
    <t xml:space="preserve">CN (EN if local hire)</t>
  </si>
  <si>
    <t xml:space="preserve">MiroMind</t>
  </si>
  <si>
    <t xml:space="preserve">(CISO OR "head of security" OR "security engineering" OR "AI security" OR "trust and safety" OR "head of cybersecurity" OR CTO OR "VP engineering" OR "head of engineering" OR "engineering director" OR "engineering manager")</t>
  </si>
  <si>
    <t xml:space="preserve">T2-EN</t>
  </si>
  <si>
    <t xml:space="preserve">EN (CN if Mandarin)</t>
  </si>
  <si>
    <t xml:space="preserve">("head of data" OR "data engineering manager" OR "director of data" OR "data platform" OR "head of data engineering" OR "chief data officer" OR "AI governance" OR "responsible AI" OR "data governance" OR "head of compliance" OR "AI ethics" OR CTO)</t>
  </si>
  <si>
    <t xml:space="preserve">EN</t>
  </si>
  <si>
    <t xml:space="preserve">ByteDance Seed</t>
  </si>
  <si>
    <t xml:space="preserve">("head of data" OR "data engineering manager" OR "director of data" OR "data platform" OR "head of data engineering" OR "chief data officer" OR CISO OR "head of security" OR "security engineering" OR "AI security" OR "trust and safety" OR "head of cybersecurity")</t>
  </si>
  <si>
    <t xml:space="preserve">ByteDance OR TikTok</t>
  </si>
  <si>
    <t xml:space="preserve">("head of data" OR "data engineering manager" OR "director of data" OR "data platform" OR "head of data engineering" OR "chief data officer" OR "AI governance" OR "responsible AI" OR "data governance" OR "head of compliance" OR "AI ethics")</t>
  </si>
  <si>
    <t xml:space="preserve">T1-CN</t>
  </si>
  <si>
    <t xml:space="preserve">Alibaba Group OR Alibaba Cloud International</t>
  </si>
  <si>
    <t xml:space="preserve">Tencent</t>
  </si>
  <si>
    <t xml:space="preserve">("head of data" OR "data engineering manager" OR "director of data" OR "data platform" OR "head of data engineering" OR "chief data officer")</t>
  </si>
  <si>
    <t xml:space="preserve">Xiaomi</t>
  </si>
  <si>
    <t xml:space="preserve">SHEIN</t>
  </si>
  <si>
    <t xml:space="preserve">T1-EN</t>
  </si>
  <si>
    <t xml:space="preserve">Ant International</t>
  </si>
  <si>
    <t xml:space="preserve">("head of data" OR "data engineering manager" OR "director of data" OR "data platform" OR "head of data engineering" OR "chief data officer" OR "AI governance" OR "responsible AI" OR "data governance" OR "head of compliance" OR "AI ethics" OR CISO)</t>
  </si>
  <si>
    <t xml:space="preserve">Sea OR Shopee OR Garena OR MariBank</t>
  </si>
  <si>
    <t xml:space="preserve">ADVANCE.AI OR Atome</t>
  </si>
  <si>
    <t xml:space="preserve">T3-CN</t>
  </si>
  <si>
    <t xml:space="preserve">Moomoo</t>
  </si>
  <si>
    <t xml:space="preserve">Tiger Brokers</t>
  </si>
  <si>
    <t xml:space="preserve">HoYoverse</t>
  </si>
  <si>
    <t xml:space="preserve">Huatai Securities</t>
  </si>
  <si>
    <t xml:space="preserve">("head of data" OR "data engineering manager" OR "director of data" OR "data platform" OR "head of data engineering" OR "chief data officer" OR "AI governance" OR "responsible AI" OR "data governance" OR "head of compliance" OR "AI ethics" OR "model risk")</t>
  </si>
  <si>
    <r>
      <rPr>
        <b val="true"/>
        <sz val="10"/>
        <rFont val="Arial"/>
        <family val="0"/>
        <charset val="1"/>
      </rPr>
      <t xml:space="preserve">High-Flyer Quant (</t>
    </r>
    <r>
      <rPr>
        <b val="true"/>
        <sz val="10"/>
        <rFont val="WenQuanYi Zen Hei"/>
        <family val="2"/>
      </rPr>
      <t xml:space="preserve">幻方量化</t>
    </r>
    <r>
      <rPr>
        <b val="true"/>
        <sz val="10"/>
        <rFont val="Arial"/>
        <family val="0"/>
        <charset val="1"/>
      </rPr>
      <t xml:space="preserve">, DeepSeek's parent)  [verify SG team first]</t>
    </r>
  </si>
  <si>
    <t xml:space="preserve">High-Flyer Quant</t>
  </si>
  <si>
    <t xml:space="preserve">T5-CN</t>
  </si>
  <si>
    <t xml:space="preserve">MS Capital</t>
  </si>
  <si>
    <t xml:space="preserve">T5-EN</t>
  </si>
  <si>
    <t xml:space="preserve">("head of data" OR "data engineering manager" OR "director of data" OR "data platform" OR "head of data engineering" OR "chief data officer" OR "model risk" OR "head of risk" OR "chief risk officer" OR "risk analytics" OR "fraud" OR "model validation")</t>
  </si>
  <si>
    <t xml:space="preserve">EY</t>
  </si>
  <si>
    <t xml:space="preserve">("AI governance" OR "responsible AI" OR "data governance" OR "chief data officer" OR "head of compliance" OR "AI ethics" OR "model risk" OR "head of risk" OR "chief risk officer" OR "risk analytics" OR "fraud" OR "model validation")</t>
  </si>
  <si>
    <t xml:space="preserve">PwC</t>
  </si>
  <si>
    <t xml:space="preserve">("AI governance" OR "responsible AI" OR "data governance" OR "chief data officer" OR "head of compliance" OR "AI ethics")</t>
  </si>
  <si>
    <t xml:space="preserve">T3-EN</t>
  </si>
  <si>
    <t xml:space="preserve">Prudential</t>
  </si>
  <si>
    <t xml:space="preserve">Manus</t>
  </si>
  <si>
    <t xml:space="preserve">Zhipu AI</t>
  </si>
  <si>
    <t xml:space="preserve">Bigo Technology</t>
  </si>
  <si>
    <t xml:space="preserve">OKX</t>
  </si>
  <si>
    <t xml:space="preserve">BD-W2 Medium</t>
  </si>
  <si>
    <t xml:space="preserve">Sapient Intelligence  [verify SG team first]</t>
  </si>
  <si>
    <t xml:space="preserve">(CTO OR "VP engineering" OR "head of engineering" OR "engineering director" OR "engineering manager")</t>
  </si>
  <si>
    <t xml:space="preserve">Skywork AI (Kunlun Tech)  [verify SG team first]</t>
  </si>
  <si>
    <t xml:space="preserve">Skywork AI</t>
  </si>
  <si>
    <t xml:space="preserve">Kuaishou</t>
  </si>
  <si>
    <t xml:space="preserve">PixVerse (AIsphere)  [verify SG team first]</t>
  </si>
  <si>
    <t xml:space="preserve">PixVerse</t>
  </si>
  <si>
    <t xml:space="preserve">Trip.com Group</t>
  </si>
  <si>
    <t xml:space="preserve">Huawei</t>
  </si>
  <si>
    <t xml:space="preserve">Lark International</t>
  </si>
  <si>
    <t xml:space="preserve">("AI governance" OR "responsible AI" OR "data governance" OR "chief data officer" OR "head of compliance" OR "AI ethics" OR CISO OR "head of security" OR "security engineering" OR "AI security" OR "trust and safety" OR "head of cybersecurity")</t>
  </si>
  <si>
    <t xml:space="preserve">Keeta (Meituan) — SEA  [verify SG team first]</t>
  </si>
  <si>
    <t xml:space="preserve">Keeta</t>
  </si>
  <si>
    <t xml:space="preserve">Temu (PDD) — SEA  [verify SG team first]</t>
  </si>
  <si>
    <t xml:space="preserve">Temu</t>
  </si>
  <si>
    <t xml:space="preserve">GXS Bank</t>
  </si>
  <si>
    <t xml:space="preserve">TrustDecision</t>
  </si>
  <si>
    <t xml:space="preserve">OneConnect</t>
  </si>
  <si>
    <t xml:space="preserve">Longbridge Singapore  [verify SG team first]</t>
  </si>
  <si>
    <t xml:space="preserve">Longbridge</t>
  </si>
  <si>
    <t xml:space="preserve">Binance Singapore  [verify SG team first]</t>
  </si>
  <si>
    <t xml:space="preserve">Binance</t>
  </si>
  <si>
    <t xml:space="preserve">NetEase Games</t>
  </si>
  <si>
    <t xml:space="preserve">Shoplazza</t>
  </si>
  <si>
    <t xml:space="preserve">Singapore-based Chinese cross-border e-commerce OR DTC teams</t>
  </si>
  <si>
    <t xml:space="preserve">Bank of China</t>
  </si>
  <si>
    <t xml:space="preserve">ICBC</t>
  </si>
  <si>
    <t xml:space="preserve">China Construction Bank</t>
  </si>
  <si>
    <t xml:space="preserve">Agricultural Bank of China</t>
  </si>
  <si>
    <t xml:space="preserve">China Merchants Bank</t>
  </si>
  <si>
    <t xml:space="preserve">China Taiping Insurance</t>
  </si>
  <si>
    <t xml:space="preserve">FWD</t>
  </si>
  <si>
    <t xml:space="preserve">China Life Insurance</t>
  </si>
  <si>
    <t xml:space="preserve">CICC</t>
  </si>
  <si>
    <t xml:space="preserve">Guotai Haitong International</t>
  </si>
  <si>
    <r>
      <rPr>
        <b val="true"/>
        <sz val="10"/>
        <rFont val="Arial"/>
        <family val="0"/>
        <charset val="1"/>
      </rPr>
      <t xml:space="preserve">Ubiquant (</t>
    </r>
    <r>
      <rPr>
        <b val="true"/>
        <sz val="10"/>
        <rFont val="WenQuanYi Zen Hei"/>
        <family val="2"/>
      </rPr>
      <t xml:space="preserve">九坤投资</t>
    </r>
    <r>
      <rPr>
        <b val="true"/>
        <sz val="10"/>
        <rFont val="Arial"/>
        <family val="0"/>
        <charset val="1"/>
      </rPr>
      <t xml:space="preserve">)  [verify SG team first]</t>
    </r>
  </si>
  <si>
    <t xml:space="preserve">Ubiquant</t>
  </si>
  <si>
    <r>
      <rPr>
        <b val="true"/>
        <sz val="10"/>
        <rFont val="Arial"/>
        <family val="0"/>
        <charset val="1"/>
      </rPr>
      <t xml:space="preserve">Minghong Investment (</t>
    </r>
    <r>
      <rPr>
        <b val="true"/>
        <sz val="10"/>
        <rFont val="WenQuanYi Zen Hei"/>
        <family val="2"/>
      </rPr>
      <t xml:space="preserve">明汯投资</t>
    </r>
    <r>
      <rPr>
        <b val="true"/>
        <sz val="10"/>
        <rFont val="Arial"/>
        <family val="0"/>
        <charset val="1"/>
      </rPr>
      <t xml:space="preserve">)  [verify SG team first]</t>
    </r>
  </si>
  <si>
    <t xml:space="preserve">Minghong Investment</t>
  </si>
  <si>
    <t xml:space="preserve">Pinpoint Asset Management  [verify SG team first]</t>
  </si>
  <si>
    <t xml:space="preserve">Tower Research Capital</t>
  </si>
  <si>
    <t xml:space="preserve">Jump Trading</t>
  </si>
  <si>
    <t xml:space="preserve">XTX Markets</t>
  </si>
  <si>
    <t xml:space="preserve">Squarepoint Capital</t>
  </si>
  <si>
    <t xml:space="preserve">Millennium Management</t>
  </si>
  <si>
    <t xml:space="preserve">Point72 OR Cubist</t>
  </si>
  <si>
    <t xml:space="preserve">Citadel OR Citadel Securities</t>
  </si>
  <si>
    <t xml:space="preserve">Trend Micro</t>
  </si>
  <si>
    <t xml:space="preserve">T4-EN</t>
  </si>
  <si>
    <t xml:space="preserve">Sangfor Technologies</t>
  </si>
  <si>
    <t xml:space="preserve">T4-CN</t>
  </si>
  <si>
    <t xml:space="preserve">(CISO OR "head of security" OR "security engineering" OR "AI security" OR "trust and safety" OR "head of cybersecurity" OR "model risk" OR "head of risk" OR "chief risk officer" OR "risk analytics" OR "fraud" OR "model validation")</t>
  </si>
  <si>
    <t xml:space="preserve">Unnamed AI red-team security consultancy</t>
  </si>
  <si>
    <t xml:space="preserve">(CISO OR "head of security" OR "security engineering" OR "AI security" OR "trust and safety" OR "head of cybersecurity")</t>
  </si>
  <si>
    <t xml:space="preserve">KPMG</t>
  </si>
  <si>
    <t xml:space="preserve">Deloitte</t>
  </si>
  <si>
    <t xml:space="preserve">Accenture</t>
  </si>
  <si>
    <t xml:space="preserve">DCITS</t>
  </si>
  <si>
    <t xml:space="preserve">HSBC</t>
  </si>
  <si>
    <t xml:space="preserve">AIA</t>
  </si>
  <si>
    <t xml:space="preserve">Citi</t>
  </si>
  <si>
    <t xml:space="preserve">JPMorgan</t>
  </si>
  <si>
    <t xml:space="preserve">MUFG Bank</t>
  </si>
  <si>
    <t xml:space="preserve">SMBC</t>
  </si>
  <si>
    <t xml:space="preserve">UBS</t>
  </si>
  <si>
    <t xml:space="preserve">Julius Baer</t>
  </si>
  <si>
    <t xml:space="preserve">Maybank</t>
  </si>
  <si>
    <t xml:space="preserve">HSBC Life</t>
  </si>
  <si>
    <t xml:space="preserve">Manulife</t>
  </si>
  <si>
    <t xml:space="preserve">BlackRock</t>
  </si>
  <si>
    <t xml:space="preserve">AI Rudder  [verify SG team first]</t>
  </si>
  <si>
    <t xml:space="preserve">BD-W3 Long-tail</t>
  </si>
  <si>
    <t xml:space="preserve">LexinFintech  [verify SG team first]</t>
  </si>
  <si>
    <t xml:space="preserve">Jiayin Group  [verify SG team first]</t>
  </si>
  <si>
    <t xml:space="preserve">UnionPay International (Singapore)  [verify SG team first]</t>
  </si>
  <si>
    <t xml:space="preserve">UnionPay International</t>
  </si>
  <si>
    <t xml:space="preserve">Bitget  [verify SG team first]</t>
  </si>
  <si>
    <t xml:space="preserve">Unitree Robotics  [verify SG team first]</t>
  </si>
  <si>
    <t xml:space="preserve">IGG Singapore  [verify SG team first]</t>
  </si>
  <si>
    <t xml:space="preserve">FunPlus Singapore  [verify SG team first]</t>
  </si>
  <si>
    <t xml:space="preserve">FunPlus</t>
  </si>
  <si>
    <t xml:space="preserve">Lilith Games Singapore  [verify SG team first]</t>
  </si>
  <si>
    <t xml:space="preserve">Lilith Games</t>
  </si>
  <si>
    <t xml:space="preserve">Moonton  [verify SG team first]</t>
  </si>
  <si>
    <t xml:space="preserve">J&amp;T Express  [verify SG team first]</t>
  </si>
  <si>
    <t xml:space="preserve">Super Hi International</t>
  </si>
  <si>
    <t xml:space="preserve">Bank of Communications</t>
  </si>
  <si>
    <t xml:space="preserve">Haitong International Securities</t>
  </si>
  <si>
    <t xml:space="preserve">China Galaxy International</t>
  </si>
  <si>
    <t xml:space="preserve">GF Securities (Singapore)  [verify SG team first]</t>
  </si>
  <si>
    <t xml:space="preserve">GF Securities</t>
  </si>
  <si>
    <t xml:space="preserve">CLSA</t>
  </si>
  <si>
    <t xml:space="preserve">WorldQuant</t>
  </si>
  <si>
    <t xml:space="preserve">Nianqiu (Nianqiu Technology)  [verify SG team first]</t>
  </si>
  <si>
    <t xml:space="preserve">Nianqiu</t>
  </si>
  <si>
    <t xml:space="preserve">Balyasny Asset Management (SG)  [verify SG team first]</t>
  </si>
  <si>
    <t xml:space="preserve">Balyasny Asset Management</t>
  </si>
  <si>
    <t xml:space="preserve">Wintermute</t>
  </si>
  <si>
    <t xml:space="preserve">Flow Traders</t>
  </si>
  <si>
    <t xml:space="preserve">Palo Alto Networks</t>
  </si>
  <si>
    <t xml:space="preserve">CIMB</t>
  </si>
  <si>
    <t xml:space="preserve">MSIG</t>
  </si>
  <si>
    <t xml:space="preserve">Munich Re</t>
  </si>
  <si>
    <t xml:space="preserve">State Street</t>
  </si>
  <si>
    <t xml:space="preserve">Visa</t>
  </si>
  <si>
    <t xml:space="preserve">Mastercard</t>
  </si>
  <si>
    <t xml:space="preserve">Applied Materials</t>
  </si>
  <si>
    <t xml:space="preserve">Singapore Technologies Engineering</t>
  </si>
  <si>
    <t xml:space="preserve">Lenovo (APAC)  [verify SG team first]</t>
  </si>
  <si>
    <t xml:space="preserve">Lenovo</t>
  </si>
  <si>
    <t xml:space="preserve">TokenPocket  [verify SG team first]</t>
  </si>
  <si>
    <t xml:space="preserve">Particle Network  [verify SG team first]</t>
  </si>
  <si>
    <t xml:space="preserve">Pudu Robotics  [verify SG team first]</t>
  </si>
  <si>
    <t xml:space="preserve">Gaussian Robotics  [verify SG team first]</t>
  </si>
  <si>
    <t xml:space="preserve">Lalamove  [verify SG team first]</t>
  </si>
  <si>
    <t xml:space="preserve">CHAGEE</t>
  </si>
  <si>
    <t xml:space="preserve">Shanghai Pudong Development Bank</t>
  </si>
  <si>
    <t xml:space="preserve">China CITIC Bank International</t>
  </si>
  <si>
    <t xml:space="preserve">China Re</t>
  </si>
  <si>
    <t xml:space="preserve">Chinasoft International  [verify SG team first]</t>
  </si>
  <si>
    <t xml:space="preserve">iSoftStone  [verify SG team first]</t>
  </si>
  <si>
    <t xml:space="preserve">DayOne</t>
  </si>
  <si>
    <t xml:space="preserve">OpenAI</t>
  </si>
  <si>
    <t xml:space="preserve">Salesforce AI Research</t>
  </si>
  <si>
    <t xml:space="preserve">GovTech</t>
  </si>
  <si>
    <t xml:space="preserve">HTX</t>
  </si>
  <si>
    <t xml:space="preserve">Cyber Security Agency</t>
  </si>
  <si>
    <t xml:space="preserve">IMDA OR AI Verify Foundation</t>
  </si>
  <si>
    <t xml:space="preserve">InMail Templates — save each one in Recruiter (Settings → Templates, or the 'Templates' menu when composing)</t>
  </si>
  <si>
    <t xml:space="preserve">{firstName} / {company} / {senderFirstName}: replace with Recruiter's own variables via the 'Insert' menu in the template editor. [Square brackets] = edit per message (signal, role, X). LinkedIn limits: subject ≤200 characters, body ≤1,900; columns F-G check this.</t>
  </si>
  <si>
    <t xml:space="preserve">ID</t>
  </si>
  <si>
    <t xml:space="preserve">Use for</t>
  </si>
  <si>
    <t xml:space="preserve">Lang</t>
  </si>
  <si>
    <t xml:space="preserve">Subject</t>
  </si>
  <si>
    <t xml:space="preserve">Body</t>
  </si>
  <si>
    <t xml:space="preserve">Subject chars</t>
  </si>
  <si>
    <t xml:space="preserve">Body chars</t>
  </si>
  <si>
    <t xml:space="preserve">General — hiring manager</t>
  </si>
  <si>
    <t xml:space="preserve">CN</t>
  </si>
  <si>
    <r>
      <rPr>
        <sz val="10"/>
        <rFont val="WenQuanYi Zen Hei"/>
        <family val="2"/>
      </rPr>
      <t xml:space="preserve">新加坡</t>
    </r>
    <r>
      <rPr>
        <sz val="10"/>
        <rFont val="Arial"/>
        <family val="0"/>
        <charset val="1"/>
      </rPr>
      <t xml:space="preserve">{company}</t>
    </r>
    <r>
      <rPr>
        <sz val="10"/>
        <rFont val="WenQuanYi Zen Hei"/>
        <family val="2"/>
      </rPr>
      <t xml:space="preserve">技术团队招聘 — 一位工程师出身的猎头</t>
    </r>
  </si>
  <si>
    <r>
      <rPr>
        <sz val="10"/>
        <rFont val="Arial"/>
        <family val="0"/>
        <charset val="1"/>
      </rPr>
      <t xml:space="preserve">{firstName}</t>
    </r>
    <r>
      <rPr>
        <sz val="10"/>
        <rFont val="WenQuanYi Zen Hei"/>
        <family val="2"/>
      </rPr>
      <t xml:space="preserve">您好，
我是</t>
    </r>
    <r>
      <rPr>
        <sz val="10"/>
        <rFont val="Arial"/>
        <family val="0"/>
        <charset val="1"/>
      </rPr>
      <t xml:space="preserve">{senderFirstName}</t>
    </r>
    <r>
      <rPr>
        <sz val="10"/>
        <rFont val="WenQuanYi Zen Hei"/>
        <family val="2"/>
      </rPr>
      <t xml:space="preserve">，在新加坡做技术猎头，之前做了</t>
    </r>
    <r>
      <rPr>
        <sz val="10"/>
        <rFont val="Arial"/>
        <family val="0"/>
        <charset val="1"/>
      </rPr>
      <t xml:space="preserve">[X]</t>
    </r>
    <r>
      <rPr>
        <sz val="10"/>
        <rFont val="WenQuanYi Zen Hei"/>
        <family val="2"/>
      </rPr>
      <t xml:space="preserve">年软件工程师，现在专注 </t>
    </r>
    <r>
      <rPr>
        <sz val="10"/>
        <rFont val="Arial"/>
        <family val="0"/>
        <charset val="1"/>
      </rPr>
      <t xml:space="preserve">Data Engineering</t>
    </r>
    <r>
      <rPr>
        <sz val="10"/>
        <rFont val="WenQuanYi Zen Hei"/>
        <family val="2"/>
      </rPr>
      <t xml:space="preserve">、</t>
    </r>
    <r>
      <rPr>
        <sz val="10"/>
        <rFont val="Arial"/>
        <family val="0"/>
        <charset val="1"/>
      </rPr>
      <t xml:space="preserve">AI Governance</t>
    </r>
    <r>
      <rPr>
        <sz val="10"/>
        <rFont val="WenQuanYi Zen Hei"/>
        <family val="2"/>
      </rPr>
      <t xml:space="preserve">、</t>
    </r>
    <r>
      <rPr>
        <sz val="10"/>
        <rFont val="Arial"/>
        <family val="0"/>
        <charset val="1"/>
      </rPr>
      <t xml:space="preserve">AI Security / Risk </t>
    </r>
    <r>
      <rPr>
        <sz val="10"/>
        <rFont val="WenQuanYi Zen Hei"/>
        <family val="2"/>
      </rPr>
      <t xml:space="preserve">和软件工程方向。
注意到</t>
    </r>
    <r>
      <rPr>
        <sz val="10"/>
        <rFont val="Arial"/>
        <family val="0"/>
        <charset val="1"/>
      </rPr>
      <t xml:space="preserve">{company}</t>
    </r>
    <r>
      <rPr>
        <sz val="10"/>
        <rFont val="WenQuanYi Zen Hei"/>
        <family val="2"/>
      </rPr>
      <t xml:space="preserve">最近</t>
    </r>
    <r>
      <rPr>
        <sz val="10"/>
        <rFont val="Arial"/>
        <family val="0"/>
        <charset val="1"/>
      </rPr>
      <t xml:space="preserve">[</t>
    </r>
    <r>
      <rPr>
        <sz val="10"/>
        <rFont val="WenQuanYi Zen Hei"/>
        <family val="2"/>
      </rPr>
      <t xml:space="preserve">具体信号</t>
    </r>
    <r>
      <rPr>
        <sz val="10"/>
        <rFont val="Arial"/>
        <family val="0"/>
        <charset val="1"/>
      </rPr>
      <t xml:space="preserve">]</t>
    </r>
    <r>
      <rPr>
        <sz val="10"/>
        <rFont val="WenQuanYi Zen Hei"/>
        <family val="2"/>
      </rPr>
      <t xml:space="preserve">。中资企业在新加坡招技术人才，常见难点是总部不太了解本地薪酬行情，合适的候选人又大多不主动看机会。我可以用中文和总部沟通，用英文对接本地候选人，并先做一轮技术筛选。
您这边近期在新加坡有没有比较难招的技术岗位？方便的话约</t>
    </r>
    <r>
      <rPr>
        <sz val="10"/>
        <rFont val="Arial"/>
        <family val="0"/>
        <charset val="1"/>
      </rPr>
      <t xml:space="preserve">15</t>
    </r>
    <r>
      <rPr>
        <sz val="10"/>
        <rFont val="WenQuanYi Zen Hei"/>
        <family val="2"/>
      </rPr>
      <t xml:space="preserve">分钟聊聊，我也可以先分享这几个方向的新加坡薪酬行情供您参考。
谢谢！
</t>
    </r>
    <r>
      <rPr>
        <sz val="10"/>
        <rFont val="Arial"/>
        <family val="0"/>
        <charset val="1"/>
      </rPr>
      <t xml:space="preserve">{senderFirstName}</t>
    </r>
  </si>
  <si>
    <t xml:space="preserve">Hard-to-fill tech roles at {company} Singapore?</t>
  </si>
  <si>
    <t xml:space="preserve">Hi {firstName},
I'm {senderFirstName}, a Singapore tech recruiter and former software engineer ([X] years). I focus on data engineering, AI governance, AI security / risk and software engineering.
I noticed {company} recently [signal]. The strongest people for these roles rarely apply to job ads, so I reach them directly and screen technically before anyone reaches your team.
Is there a role on your Singapore roadmap that's proving hard to fill? Happy to share current salary benchmarks over a 15-minute call.
Best,
{senderFirstName}</t>
  </si>
  <si>
    <t xml:space="preserve">Funded / scaling AI startup — founder or CTO</t>
  </si>
  <si>
    <r>
      <rPr>
        <sz val="10"/>
        <rFont val="WenQuanYi Zen Hei"/>
        <family val="2"/>
      </rPr>
      <t xml:space="preserve">恭喜</t>
    </r>
    <r>
      <rPr>
        <sz val="10"/>
        <rFont val="Arial"/>
        <family val="0"/>
        <charset val="1"/>
      </rPr>
      <t xml:space="preserve">{company}[</t>
    </r>
    <r>
      <rPr>
        <sz val="10"/>
        <rFont val="WenQuanYi Zen Hei"/>
        <family val="2"/>
      </rPr>
      <t xml:space="preserve">融资</t>
    </r>
    <r>
      <rPr>
        <sz val="10"/>
        <rFont val="Arial"/>
        <family val="0"/>
        <charset val="1"/>
      </rPr>
      <t xml:space="preserve">/</t>
    </r>
    <r>
      <rPr>
        <sz val="10"/>
        <rFont val="WenQuanYi Zen Hei"/>
        <family val="2"/>
      </rPr>
      <t xml:space="preserve">新总部</t>
    </r>
    <r>
      <rPr>
        <sz val="10"/>
        <rFont val="Arial"/>
        <family val="0"/>
        <charset val="1"/>
      </rPr>
      <t xml:space="preserve">] — </t>
    </r>
    <r>
      <rPr>
        <sz val="10"/>
        <rFont val="WenQuanYi Zen Hei"/>
        <family val="2"/>
      </rPr>
      <t xml:space="preserve">新加坡团队扩张</t>
    </r>
  </si>
  <si>
    <r>
      <rPr>
        <sz val="10"/>
        <rFont val="Arial"/>
        <family val="0"/>
        <charset val="1"/>
      </rPr>
      <t xml:space="preserve">{firstName}</t>
    </r>
    <r>
      <rPr>
        <sz val="10"/>
        <rFont val="WenQuanYi Zen Hei"/>
        <family val="2"/>
      </rPr>
      <t xml:space="preserve">您好，恭喜</t>
    </r>
    <r>
      <rPr>
        <sz val="10"/>
        <rFont val="Arial"/>
        <family val="0"/>
        <charset val="1"/>
      </rPr>
      <t xml:space="preserve">{company}[</t>
    </r>
    <r>
      <rPr>
        <sz val="10"/>
        <rFont val="WenQuanYi Zen Hei"/>
        <family val="2"/>
      </rPr>
      <t xml:space="preserve">完成</t>
    </r>
    <r>
      <rPr>
        <sz val="10"/>
        <rFont val="Arial"/>
        <family val="0"/>
        <charset val="1"/>
      </rPr>
      <t xml:space="preserve">X</t>
    </r>
    <r>
      <rPr>
        <sz val="10"/>
        <rFont val="WenQuanYi Zen Hei"/>
        <family val="2"/>
      </rPr>
      <t xml:space="preserve">轮融资 </t>
    </r>
    <r>
      <rPr>
        <sz val="10"/>
        <rFont val="Arial"/>
        <family val="0"/>
        <charset val="1"/>
      </rPr>
      <t xml:space="preserve">/ </t>
    </r>
    <r>
      <rPr>
        <sz val="10"/>
        <rFont val="WenQuanYi Zen Hei"/>
        <family val="2"/>
      </rPr>
      <t xml:space="preserve">新加坡总部开业</t>
    </r>
    <r>
      <rPr>
        <sz val="10"/>
        <rFont val="Arial"/>
        <family val="0"/>
        <charset val="1"/>
      </rPr>
      <t xml:space="preserve">]</t>
    </r>
    <r>
      <rPr>
        <sz val="10"/>
        <rFont val="WenQuanYi Zen Hei"/>
        <family val="2"/>
      </rPr>
      <t xml:space="preserve">！
这个阶段通常是招人最快、但招聘体系还没搭起来的时候。我是工程师出身的猎头，专注 </t>
    </r>
    <r>
      <rPr>
        <sz val="10"/>
        <rFont val="Arial"/>
        <family val="0"/>
        <charset val="1"/>
      </rPr>
      <t xml:space="preserve">AI / Agent </t>
    </r>
    <r>
      <rPr>
        <sz val="10"/>
        <rFont val="WenQuanYi Zen Hei"/>
        <family val="2"/>
      </rPr>
      <t xml:space="preserve">工程、数据工程和 </t>
    </r>
    <r>
      <rPr>
        <sz val="10"/>
        <rFont val="Arial"/>
        <family val="0"/>
        <charset val="1"/>
      </rPr>
      <t xml:space="preserve">AI </t>
    </r>
    <r>
      <rPr>
        <sz val="10"/>
        <rFont val="WenQuanYi Zen Hei"/>
        <family val="2"/>
      </rPr>
      <t xml:space="preserve">安全方向，可以先替你们做技术筛选，节省团队的面试时间。
如果</t>
    </r>
    <r>
      <rPr>
        <sz val="10"/>
        <rFont val="Arial"/>
        <family val="0"/>
        <charset val="1"/>
      </rPr>
      <t xml:space="preserve">[</t>
    </r>
    <r>
      <rPr>
        <sz val="10"/>
        <rFont val="WenQuanYi Zen Hei"/>
        <family val="2"/>
      </rPr>
      <t xml:space="preserve">岗位</t>
    </r>
    <r>
      <rPr>
        <sz val="10"/>
        <rFont val="Arial"/>
        <family val="0"/>
        <charset val="1"/>
      </rPr>
      <t xml:space="preserve">]</t>
    </r>
    <r>
      <rPr>
        <sz val="10"/>
        <rFont val="WenQuanYi Zen Hei"/>
        <family val="2"/>
      </rPr>
      <t xml:space="preserve">在计划里，我可以在</t>
    </r>
    <r>
      <rPr>
        <sz val="10"/>
        <rFont val="Arial"/>
        <family val="0"/>
        <charset val="1"/>
      </rPr>
      <t xml:space="preserve">[X]</t>
    </r>
    <r>
      <rPr>
        <sz val="10"/>
        <rFont val="WenQuanYi Zen Hei"/>
        <family val="2"/>
      </rPr>
      <t xml:space="preserve">个工作日内先发</t>
    </r>
    <r>
      <rPr>
        <sz val="10"/>
        <rFont val="Arial"/>
        <family val="0"/>
        <charset val="1"/>
      </rPr>
      <t xml:space="preserve">2-3</t>
    </r>
    <r>
      <rPr>
        <sz val="10"/>
        <rFont val="WenQuanYi Zen Hei"/>
        <family val="2"/>
      </rPr>
      <t xml:space="preserve">份匿名候选人简介，合不合适您来判断，不合适不收费。方便聊</t>
    </r>
    <r>
      <rPr>
        <sz val="10"/>
        <rFont val="Arial"/>
        <family val="0"/>
        <charset val="1"/>
      </rPr>
      <t xml:space="preserve">15</t>
    </r>
    <r>
      <rPr>
        <sz val="10"/>
        <rFont val="WenQuanYi Zen Hei"/>
        <family val="2"/>
      </rPr>
      <t xml:space="preserve">分钟吗？
</t>
    </r>
    <r>
      <rPr>
        <sz val="10"/>
        <rFont val="Arial"/>
        <family val="0"/>
        <charset val="1"/>
      </rPr>
      <t xml:space="preserve">{senderFirstName}</t>
    </r>
  </si>
  <si>
    <t xml:space="preserve">Congrats on [milestone] — scaling {company} in Singapore</t>
  </si>
  <si>
    <t xml:space="preserve">Hi {firstName}, congratulations on [milestone]!
This is usually when hiring moves fastest but internal recruiting isn't in place yet. I'm an ex-engineer recruiter focused on AI / agent engineering, data engineering and AI security, so I screen technically before anyone reaches your team.
If [role] is on your plan, I can send 2-3 anonymised profiles within [X] working days. You judge the fit, and there's no fee unless you hire. Open to a 15-minute call?
{senderFirstName}</t>
  </si>
  <si>
    <t xml:space="preserve">MAS-regulated FI — AI governance / AI risk</t>
  </si>
  <si>
    <r>
      <rPr>
        <sz val="10"/>
        <rFont val="Arial"/>
        <family val="0"/>
        <charset val="1"/>
      </rPr>
      <t xml:space="preserve">MAS</t>
    </r>
    <r>
      <rPr>
        <sz val="10"/>
        <rFont val="WenQuanYi Zen Hei"/>
        <family val="2"/>
      </rPr>
      <t xml:space="preserve">《</t>
    </r>
    <r>
      <rPr>
        <sz val="10"/>
        <rFont val="Arial"/>
        <family val="0"/>
        <charset val="1"/>
      </rPr>
      <t xml:space="preserve">AI</t>
    </r>
    <r>
      <rPr>
        <sz val="10"/>
        <rFont val="WenQuanYi Zen Hei"/>
        <family val="2"/>
      </rPr>
      <t xml:space="preserve">风险管理指引》— </t>
    </r>
    <r>
      <rPr>
        <sz val="10"/>
        <rFont val="Arial"/>
        <family val="0"/>
        <charset val="1"/>
      </rPr>
      <t xml:space="preserve">{company}</t>
    </r>
    <r>
      <rPr>
        <sz val="10"/>
        <rFont val="WenQuanYi Zen Hei"/>
        <family val="2"/>
      </rPr>
      <t xml:space="preserve">新加坡的人才准备</t>
    </r>
  </si>
  <si>
    <r>
      <rPr>
        <sz val="10"/>
        <rFont val="Arial"/>
        <family val="0"/>
        <charset val="1"/>
      </rPr>
      <t xml:space="preserve">{firstName}</t>
    </r>
    <r>
      <rPr>
        <sz val="10"/>
        <rFont val="WenQuanYi Zen Hei"/>
        <family val="2"/>
      </rPr>
      <t xml:space="preserve">您好，
</t>
    </r>
    <r>
      <rPr>
        <sz val="10"/>
        <rFont val="Arial"/>
        <family val="0"/>
        <charset val="1"/>
      </rPr>
      <t xml:space="preserve">MAS </t>
    </r>
    <r>
      <rPr>
        <sz val="10"/>
        <rFont val="WenQuanYi Zen Hei"/>
        <family val="2"/>
      </rPr>
      <t xml:space="preserve">于</t>
    </r>
    <r>
      <rPr>
        <sz val="10"/>
        <rFont val="Arial"/>
        <family val="0"/>
        <charset val="1"/>
      </rPr>
      <t xml:space="preserve">10</t>
    </r>
    <r>
      <rPr>
        <sz val="10"/>
        <rFont val="WenQuanYi Zen Hei"/>
        <family val="2"/>
      </rPr>
      <t xml:space="preserve">月</t>
    </r>
    <r>
      <rPr>
        <sz val="10"/>
        <rFont val="Arial"/>
        <family val="0"/>
        <charset val="1"/>
      </rPr>
      <t xml:space="preserve">7</t>
    </r>
    <r>
      <rPr>
        <sz val="10"/>
        <rFont val="WenQuanYi Zen Hei"/>
        <family val="2"/>
      </rPr>
      <t xml:space="preserve">日发布了《</t>
    </r>
    <r>
      <rPr>
        <sz val="10"/>
        <rFont val="Arial"/>
        <family val="0"/>
        <charset val="1"/>
      </rPr>
      <t xml:space="preserve">AI</t>
    </r>
    <r>
      <rPr>
        <sz val="10"/>
        <rFont val="WenQuanYi Zen Hei"/>
        <family val="2"/>
      </rPr>
      <t xml:space="preserve">风险管理指引》，适用于所有持牌金融机构，过渡期约</t>
    </r>
    <r>
      <rPr>
        <sz val="10"/>
        <rFont val="Arial"/>
        <family val="0"/>
        <charset val="1"/>
      </rPr>
      <t xml:space="preserve">12</t>
    </r>
    <r>
      <rPr>
        <sz val="10"/>
        <rFont val="WenQuanYi Zen Hei"/>
        <family val="2"/>
      </rPr>
      <t xml:space="preserve">个月，涵盖</t>
    </r>
    <r>
      <rPr>
        <sz val="10"/>
        <rFont val="Arial"/>
        <family val="0"/>
        <charset val="1"/>
      </rPr>
      <t xml:space="preserve">AI</t>
    </r>
    <r>
      <rPr>
        <sz val="10"/>
        <rFont val="WenQuanYi Zen Hei"/>
        <family val="2"/>
      </rPr>
      <t xml:space="preserve">使用清单、风险评估、模型验证和治理责任。
既懂</t>
    </r>
    <r>
      <rPr>
        <sz val="10"/>
        <rFont val="Arial"/>
        <family val="0"/>
        <charset val="1"/>
      </rPr>
      <t xml:space="preserve">ML</t>
    </r>
    <r>
      <rPr>
        <sz val="10"/>
        <rFont val="WenQuanYi Zen Hei"/>
        <family val="2"/>
      </rPr>
      <t xml:space="preserve">模型又懂监管的人在新加坡非常稀缺，接下来一年银行、券商和保险都会集中招聘。我专注 </t>
    </r>
    <r>
      <rPr>
        <sz val="10"/>
        <rFont val="Arial"/>
        <family val="0"/>
        <charset val="1"/>
      </rPr>
      <t xml:space="preserve">AI Governance / AI Risk / </t>
    </r>
    <r>
      <rPr>
        <sz val="10"/>
        <rFont val="WenQuanYi Zen Hei"/>
        <family val="2"/>
      </rPr>
      <t xml:space="preserve">数据方向的招聘，可以先给您一页简要说明：新规对人员配置的影响和市场薪酬，方便您向总部汇报。
方便约个时间聊聊吗？
</t>
    </r>
    <r>
      <rPr>
        <sz val="10"/>
        <rFont val="Arial"/>
        <family val="0"/>
        <charset val="1"/>
      </rPr>
      <t xml:space="preserve">{senderFirstName}</t>
    </r>
  </si>
  <si>
    <t xml:space="preserve">MAS AI Risk Guidelines — staffing at {company}</t>
  </si>
  <si>
    <t xml:space="preserve">Hi {firstName},
MAS issued its AI Risk Management Guidelines on 7 October, with a transition period of roughly 12 months covering AI inventory, risk assessment, model validation and accountability.
People who understand both ML models and regulation are scarce in Singapore, and most FIs will be hiring for these roles over the next year. I specialise in AI governance, AI risk and data hiring. I'd be glad to share a one-page brief on what the guidelines mean for headcount, plus current market rates.
Would a short call be useful?
{senderFirstName}</t>
  </si>
  <si>
    <t xml:space="preserve">AI security — CISO / security lead</t>
  </si>
  <si>
    <r>
      <rPr>
        <sz val="10"/>
        <rFont val="Arial"/>
        <family val="0"/>
        <charset val="1"/>
      </rPr>
      <t xml:space="preserve">AI / Agent </t>
    </r>
    <r>
      <rPr>
        <sz val="10"/>
        <rFont val="WenQuanYi Zen Hei"/>
        <family val="2"/>
      </rPr>
      <t xml:space="preserve">安全人才 — 新加坡</t>
    </r>
  </si>
  <si>
    <r>
      <rPr>
        <sz val="10"/>
        <rFont val="Arial"/>
        <family val="0"/>
        <charset val="1"/>
      </rPr>
      <t xml:space="preserve">{firstName}</t>
    </r>
    <r>
      <rPr>
        <sz val="10"/>
        <rFont val="WenQuanYi Zen Hei"/>
        <family val="2"/>
      </rPr>
      <t xml:space="preserve">您好，
</t>
    </r>
    <r>
      <rPr>
        <sz val="10"/>
        <rFont val="Arial"/>
        <family val="0"/>
        <charset val="1"/>
      </rPr>
      <t xml:space="preserve">AI Agent </t>
    </r>
    <r>
      <rPr>
        <sz val="10"/>
        <rFont val="WenQuanYi Zen Hei"/>
        <family val="2"/>
      </rPr>
      <t xml:space="preserve">带来的攻击面（</t>
    </r>
    <r>
      <rPr>
        <sz val="10"/>
        <rFont val="Arial"/>
        <family val="0"/>
        <charset val="1"/>
      </rPr>
      <t xml:space="preserve">prompt injection</t>
    </r>
    <r>
      <rPr>
        <sz val="10"/>
        <rFont val="WenQuanYi Zen Hei"/>
        <family val="2"/>
      </rPr>
      <t xml:space="preserve">、工具调用权限、数据外泄）和传统应用安全很不一样，真正做过 </t>
    </r>
    <r>
      <rPr>
        <sz val="10"/>
        <rFont val="Arial"/>
        <family val="0"/>
        <charset val="1"/>
      </rPr>
      <t xml:space="preserve">LLM / Agent </t>
    </r>
    <r>
      <rPr>
        <sz val="10"/>
        <rFont val="WenQuanYi Zen Hei"/>
        <family val="2"/>
      </rPr>
      <t xml:space="preserve">安全的人在新加坡很少。
我是工程师出身的猎头，专门在做 </t>
    </r>
    <r>
      <rPr>
        <sz val="10"/>
        <rFont val="Arial"/>
        <family val="0"/>
        <charset val="1"/>
      </rPr>
      <t xml:space="preserve">AI Security </t>
    </r>
    <r>
      <rPr>
        <sz val="10"/>
        <rFont val="WenQuanYi Zen Hei"/>
        <family val="2"/>
      </rPr>
      <t xml:space="preserve">这个细分方向。如果</t>
    </r>
    <r>
      <rPr>
        <sz val="10"/>
        <rFont val="Arial"/>
        <family val="0"/>
        <charset val="1"/>
      </rPr>
      <t xml:space="preserve">{company}</t>
    </r>
    <r>
      <rPr>
        <sz val="10"/>
        <rFont val="WenQuanYi Zen Hei"/>
        <family val="2"/>
      </rPr>
      <t xml:space="preserve">在新加坡有相关岗位，或者在规划这块能力，我可以先发几份匿名候选人简介给您参考。
方便的话回复一下就好。
</t>
    </r>
    <r>
      <rPr>
        <sz val="10"/>
        <rFont val="Arial"/>
        <family val="0"/>
        <charset val="1"/>
      </rPr>
      <t xml:space="preserve">{senderFirstName}</t>
    </r>
  </si>
  <si>
    <t xml:space="preserve">AI / agent security talent in Singapore</t>
  </si>
  <si>
    <t xml:space="preserve">Hi {firstName},
Securing AI agents (prompt injection, tool permissions, data exfiltration) is a different skill set from traditional appsec, and few people in Singapore have done it hands-on.
As an ex-engineer, I focus on this niche. If {company} is hiring for it in Singapore, or planning to build the capability, I can send a few anonymised profiles for reference.
Just reply if useful.
{senderFirstName}</t>
  </si>
  <si>
    <t xml:space="preserve">Quant / trading — head of tech or data</t>
  </si>
  <si>
    <t xml:space="preserve">新加坡量化数据工程人才</t>
  </si>
  <si>
    <r>
      <rPr>
        <sz val="10"/>
        <rFont val="Arial"/>
        <family val="0"/>
        <charset val="1"/>
      </rPr>
      <t xml:space="preserve">{firstName}</t>
    </r>
    <r>
      <rPr>
        <sz val="10"/>
        <rFont val="WenQuanYi Zen Hei"/>
        <family val="2"/>
      </rPr>
      <t xml:space="preserve">您好，
我是</t>
    </r>
    <r>
      <rPr>
        <sz val="10"/>
        <rFont val="Arial"/>
        <family val="0"/>
        <charset val="1"/>
      </rPr>
      <t xml:space="preserve">{senderFirstName}</t>
    </r>
    <r>
      <rPr>
        <sz val="10"/>
        <rFont val="WenQuanYi Zen Hei"/>
        <family val="2"/>
      </rPr>
      <t xml:space="preserve">，在新加坡做技术猎头，工程师出身，专注量化方向的数据工程和基础设施岗位（行情数据、另类数据、研究平台）。
看到</t>
    </r>
    <r>
      <rPr>
        <sz val="10"/>
        <rFont val="Arial"/>
        <family val="0"/>
        <charset val="1"/>
      </rPr>
      <t xml:space="preserve">{company}[</t>
    </r>
    <r>
      <rPr>
        <sz val="10"/>
        <rFont val="WenQuanYi Zen Hei"/>
        <family val="2"/>
      </rPr>
      <t xml:space="preserve">在新加坡设办公室 </t>
    </r>
    <r>
      <rPr>
        <sz val="10"/>
        <rFont val="Arial"/>
        <family val="0"/>
        <charset val="1"/>
      </rPr>
      <t xml:space="preserve">/ </t>
    </r>
    <r>
      <rPr>
        <sz val="10"/>
        <rFont val="WenQuanYi Zen Hei"/>
        <family val="2"/>
      </rPr>
      <t xml:space="preserve">扩团队</t>
    </r>
    <r>
      <rPr>
        <sz val="10"/>
        <rFont val="Arial"/>
        <family val="0"/>
        <charset val="1"/>
      </rPr>
      <t xml:space="preserve">]</t>
    </r>
    <r>
      <rPr>
        <sz val="10"/>
        <rFont val="WenQuanYi Zen Hei"/>
        <family val="2"/>
      </rPr>
      <t xml:space="preserve">。这类候选人基本不主动看机会，我主要靠定向挖掘，能找到在新加坡本地、做过量化数据基础设施的人。
如果近期有相关岗位，我可以先发</t>
    </r>
    <r>
      <rPr>
        <sz val="10"/>
        <rFont val="Arial"/>
        <family val="0"/>
        <charset val="1"/>
      </rPr>
      <t xml:space="preserve">2-3</t>
    </r>
    <r>
      <rPr>
        <sz val="10"/>
        <rFont val="WenQuanYi Zen Hei"/>
        <family val="2"/>
      </rPr>
      <t xml:space="preserve">份匿名简介，您看是否对口。
</t>
    </r>
    <r>
      <rPr>
        <sz val="10"/>
        <rFont val="Arial"/>
        <family val="0"/>
        <charset val="1"/>
      </rPr>
      <t xml:space="preserve">{senderFirstName}</t>
    </r>
  </si>
  <si>
    <t xml:space="preserve">Quant data engineering talent — Singapore</t>
  </si>
  <si>
    <t xml:space="preserve">Hi {firstName},
I'm {senderFirstName}, an ex-engineer tech recruiter in Singapore focused on quant data engineering and infrastructure (market data, alt-data, research platforms).
These candidates are almost never on the market, so I find them through targeted headhunting, with a focus on people already in Singapore.
If {company} has a data or infra role open, I can send 2-3 anonymised profiles so you can judge the fit.
{senderFirstName}</t>
  </si>
  <si>
    <t xml:space="preserve">T6-CN</t>
  </si>
  <si>
    <t xml:space="preserve">TA / HR — partnership</t>
  </si>
  <si>
    <r>
      <rPr>
        <sz val="10"/>
        <rFont val="WenQuanYi Zen Hei"/>
        <family val="2"/>
      </rPr>
      <t xml:space="preserve">新加坡技术招聘合作 — </t>
    </r>
    <r>
      <rPr>
        <sz val="10"/>
        <rFont val="Arial"/>
        <family val="0"/>
        <charset val="1"/>
      </rPr>
      <t xml:space="preserve">{company}</t>
    </r>
  </si>
  <si>
    <r>
      <rPr>
        <sz val="10"/>
        <rFont val="Arial"/>
        <family val="0"/>
        <charset val="1"/>
      </rPr>
      <t xml:space="preserve">{firstName}</t>
    </r>
    <r>
      <rPr>
        <sz val="10"/>
        <rFont val="WenQuanYi Zen Hei"/>
        <family val="2"/>
      </rPr>
      <t xml:space="preserve">您好，
我是</t>
    </r>
    <r>
      <rPr>
        <sz val="10"/>
        <rFont val="Arial"/>
        <family val="0"/>
        <charset val="1"/>
      </rPr>
      <t xml:space="preserve">{senderFirstName}</t>
    </r>
    <r>
      <rPr>
        <sz val="10"/>
        <rFont val="WenQuanYi Zen Hei"/>
        <family val="2"/>
      </rPr>
      <t xml:space="preserve">，新加坡技术猎头，工程师出身，专注 </t>
    </r>
    <r>
      <rPr>
        <sz val="10"/>
        <rFont val="Arial"/>
        <family val="0"/>
        <charset val="1"/>
      </rPr>
      <t xml:space="preserve">AI / </t>
    </r>
    <r>
      <rPr>
        <sz val="10"/>
        <rFont val="WenQuanYi Zen Hei"/>
        <family val="2"/>
      </rPr>
      <t xml:space="preserve">数据 </t>
    </r>
    <r>
      <rPr>
        <sz val="10"/>
        <rFont val="Arial"/>
        <family val="0"/>
        <charset val="1"/>
      </rPr>
      <t xml:space="preserve">/ AI </t>
    </r>
    <r>
      <rPr>
        <sz val="10"/>
        <rFont val="WenQuanYi Zen Hei"/>
        <family val="2"/>
      </rPr>
      <t xml:space="preserve">安全与风控方向。
了解到</t>
    </r>
    <r>
      <rPr>
        <sz val="10"/>
        <rFont val="Arial"/>
        <family val="0"/>
        <charset val="1"/>
      </rPr>
      <t xml:space="preserve">{company}</t>
    </r>
    <r>
      <rPr>
        <sz val="10"/>
        <rFont val="WenQuanYi Zen Hei"/>
        <family val="2"/>
      </rPr>
      <t xml:space="preserve">在新加坡</t>
    </r>
    <r>
      <rPr>
        <sz val="10"/>
        <rFont val="Arial"/>
        <family val="0"/>
        <charset val="1"/>
      </rPr>
      <t xml:space="preserve">[</t>
    </r>
    <r>
      <rPr>
        <sz val="10"/>
        <rFont val="WenQuanYi Zen Hei"/>
        <family val="2"/>
      </rPr>
      <t xml:space="preserve">扩张</t>
    </r>
    <r>
      <rPr>
        <sz val="10"/>
        <rFont val="Arial"/>
        <family val="0"/>
        <charset val="1"/>
      </rPr>
      <t xml:space="preserve">/</t>
    </r>
    <r>
      <rPr>
        <sz val="10"/>
        <rFont val="WenQuanYi Zen Hei"/>
        <family val="2"/>
      </rPr>
      <t xml:space="preserve">招聘</t>
    </r>
    <r>
      <rPr>
        <sz val="10"/>
        <rFont val="Arial"/>
        <family val="0"/>
        <charset val="1"/>
      </rPr>
      <t xml:space="preserve">]</t>
    </r>
    <r>
      <rPr>
        <sz val="10"/>
        <rFont val="WenQuanYi Zen Hei"/>
        <family val="2"/>
      </rPr>
      <t xml:space="preserve">。很多团队会把这类难招的技术岗位交给专精的外部顾问补充，我可以先接</t>
    </r>
    <r>
      <rPr>
        <sz val="10"/>
        <rFont val="Arial"/>
        <family val="0"/>
        <charset val="1"/>
      </rPr>
      <t xml:space="preserve">1-2</t>
    </r>
    <r>
      <rPr>
        <sz val="10"/>
        <rFont val="WenQuanYi Zen Hei"/>
        <family val="2"/>
      </rPr>
      <t xml:space="preserve">个最难的岗位，用实际结果来证明价值。
想问一下贵司目前和猎头合作的流程（供应商名单或条款）是怎样的？方便的话约</t>
    </r>
    <r>
      <rPr>
        <sz val="10"/>
        <rFont val="Arial"/>
        <family val="0"/>
        <charset val="1"/>
      </rPr>
      <t xml:space="preserve">15</t>
    </r>
    <r>
      <rPr>
        <sz val="10"/>
        <rFont val="WenQuanYi Zen Hei"/>
        <family val="2"/>
      </rPr>
      <t xml:space="preserve">分钟聊聊。
</t>
    </r>
    <r>
      <rPr>
        <sz val="10"/>
        <rFont val="Arial"/>
        <family val="0"/>
        <charset val="1"/>
      </rPr>
      <t xml:space="preserve">{senderFirstName}</t>
    </r>
  </si>
  <si>
    <t xml:space="preserve">T6-EN</t>
  </si>
  <si>
    <t xml:space="preserve">Supporting {company}'s tech hiring in Singapore</t>
  </si>
  <si>
    <t xml:space="preserve">Hi {firstName},
I'm {senderFirstName}, an ex-engineer tech recruiter in Singapore focused on AI, data, AI security and AI risk roles.
I understand {company} is [growing / hiring] in Singapore. Many TA teams bring in a specialist for their hardest technical roles, and I'd be happy to start with one or two of yours and prove value on results.
Could you share how you work with agencies (PSL, terms)? Happy to set up a quick 15-minute call.
{senderFirstName}</t>
  </si>
  <si>
    <t xml:space="preserve">F1-CN</t>
  </si>
  <si>
    <t xml:space="preserve">Follow-up #1 (day 5-7)</t>
  </si>
  <si>
    <r>
      <rPr>
        <sz val="10"/>
        <rFont val="Arial"/>
        <family val="0"/>
        <charset val="1"/>
      </rPr>
      <t xml:space="preserve">Re: </t>
    </r>
    <r>
      <rPr>
        <sz val="10"/>
        <rFont val="WenQuanYi Zen Hei"/>
        <family val="2"/>
      </rPr>
      <t xml:space="preserve">补充一点信息</t>
    </r>
  </si>
  <si>
    <r>
      <rPr>
        <sz val="10"/>
        <rFont val="Arial"/>
        <family val="0"/>
        <charset val="1"/>
      </rPr>
      <t xml:space="preserve">{firstName}</t>
    </r>
    <r>
      <rPr>
        <sz val="10"/>
        <rFont val="WenQuanYi Zen Hei"/>
        <family val="2"/>
      </rPr>
      <t xml:space="preserve">您好，跟进一下上次的消息。附上一个可能对您有用的信息：</t>
    </r>
    <r>
      <rPr>
        <sz val="10"/>
        <rFont val="Arial"/>
        <family val="0"/>
        <charset val="1"/>
      </rPr>
      <t xml:space="preserve">[</t>
    </r>
    <r>
      <rPr>
        <sz val="10"/>
        <rFont val="WenQuanYi Zen Hei"/>
        <family val="2"/>
      </rPr>
      <t xml:space="preserve">新加坡该岗位的薪酬区间 </t>
    </r>
    <r>
      <rPr>
        <sz val="10"/>
        <rFont val="Arial"/>
        <family val="0"/>
        <charset val="1"/>
      </rPr>
      <t xml:space="preserve">/ </t>
    </r>
    <r>
      <rPr>
        <sz val="10"/>
        <rFont val="WenQuanYi Zen Hei"/>
        <family val="2"/>
      </rPr>
      <t xml:space="preserve">一位匿名候选人简介</t>
    </r>
    <r>
      <rPr>
        <sz val="10"/>
        <rFont val="Arial"/>
        <family val="0"/>
        <charset val="1"/>
      </rPr>
      <t xml:space="preserve">]</t>
    </r>
    <r>
      <rPr>
        <sz val="10"/>
        <rFont val="WenQuanYi Zen Hei"/>
        <family val="2"/>
      </rPr>
      <t xml:space="preserve">。
如果现在时机不合适也没关系，告诉我什么时候再联系更合适就好。
</t>
    </r>
    <r>
      <rPr>
        <sz val="10"/>
        <rFont val="Arial"/>
        <family val="0"/>
        <charset val="1"/>
      </rPr>
      <t xml:space="preserve">{senderFirstName}</t>
    </r>
  </si>
  <si>
    <t xml:space="preserve">F1-EN</t>
  </si>
  <si>
    <t xml:space="preserve">Re: one more data point</t>
  </si>
  <si>
    <t xml:space="preserve">Hi {firstName}, following up with something that might be useful: [salary range for this role in Singapore / one anonymised profile].
If now isn't the right time, just let me know when would be better to reconnect.
{senderFirstName}</t>
  </si>
  <si>
    <t xml:space="preserve">F2-CN</t>
  </si>
  <si>
    <t xml:space="preserve">Follow-up #2 (day 14) — last</t>
  </si>
  <si>
    <t xml:space="preserve">最后一次打扰</t>
  </si>
  <si>
    <r>
      <rPr>
        <sz val="10"/>
        <rFont val="Arial"/>
        <family val="0"/>
        <charset val="1"/>
      </rPr>
      <t xml:space="preserve">{firstName}</t>
    </r>
    <r>
      <rPr>
        <sz val="10"/>
        <rFont val="WenQuanYi Zen Hei"/>
        <family val="2"/>
      </rPr>
      <t xml:space="preserve">您好，这是我最后一次打扰。如果之后</t>
    </r>
    <r>
      <rPr>
        <sz val="10"/>
        <rFont val="Arial"/>
        <family val="0"/>
        <charset val="1"/>
      </rPr>
      <t xml:space="preserve">{company}</t>
    </r>
    <r>
      <rPr>
        <sz val="10"/>
        <rFont val="WenQuanYi Zen Hei"/>
        <family val="2"/>
      </rPr>
      <t xml:space="preserve">在新加坡有 </t>
    </r>
    <r>
      <rPr>
        <sz val="10"/>
        <rFont val="Arial"/>
        <family val="0"/>
        <charset val="1"/>
      </rPr>
      <t xml:space="preserve">AI / </t>
    </r>
    <r>
      <rPr>
        <sz val="10"/>
        <rFont val="WenQuanYi Zen Hei"/>
        <family val="2"/>
      </rPr>
      <t xml:space="preserve">数据方向的招聘需求，随时找我，我会持续关注这个方向的人才市场。祝工作顺利！
</t>
    </r>
    <r>
      <rPr>
        <sz val="10"/>
        <rFont val="Arial"/>
        <family val="0"/>
        <charset val="1"/>
      </rPr>
      <t xml:space="preserve">{senderFirstName}</t>
    </r>
  </si>
  <si>
    <t xml:space="preserve">F2-EN</t>
  </si>
  <si>
    <t xml:space="preserve">Closing the loop</t>
  </si>
  <si>
    <t xml:space="preserve">Hi {firstName}, closing the loop here. If {company} ever needs help with AI or data hiring in Singapore, I'm happy to help, and I'll keep you posted on market moves in this space. All the best!
{senderFirstName}</t>
  </si>
  <si>
    <t xml:space="preserve">Summary — counts update automatically from 'Master Target List'</t>
  </si>
  <si>
    <t xml:space="preserve">Total</t>
  </si>
  <si>
    <t xml:space="preserve">of which added in v2/v2.1</t>
  </si>
  <si>
    <t xml:space="preserve">Role direction</t>
  </si>
  <si>
    <t xml:space="preserve">Core need (●)</t>
  </si>
  <si>
    <t xml:space="preserve">Possible (○)</t>
  </si>
  <si>
    <t xml:space="preserve">Core — High / Med-High priority</t>
  </si>
  <si>
    <t xml:space="preserve">Data Engineer</t>
  </si>
  <si>
    <t xml:space="preserve">AI Governance</t>
  </si>
  <si>
    <t xml:space="preserve">Software Engineer</t>
  </si>
  <si>
    <t xml:space="preserve">China Link type</t>
  </si>
  <si>
    <t xml:space="preserve">Meaning</t>
  </si>
  <si>
    <t xml:space="preserve">Count</t>
  </si>
  <si>
    <t xml:space="preserve">Chinese HQ / SOE with SG entity</t>
  </si>
  <si>
    <t xml:space="preserve">Chinese-founded, HQ'd or relocated to SG</t>
  </si>
  <si>
    <t xml:space="preserve">Greater-China / Chinese-diaspora founders</t>
  </si>
  <si>
    <t xml:space="preserve">Non-Chinese firm, China-origin tech leaders / TA (verify)</t>
  </si>
  <si>
    <t xml:space="preserve">No specific China link — role fit only</t>
  </si>
  <si>
    <t xml:space="preserve">BD Status (pipeline)</t>
  </si>
  <si>
    <t xml:space="preserve">Researching</t>
  </si>
  <si>
    <t xml:space="preserve">Contacted</t>
  </si>
  <si>
    <t xml:space="preserve">Meeting set</t>
  </si>
  <si>
    <t xml:space="preserve">Proposal / terms</t>
  </si>
  <si>
    <t xml:space="preserve">Signed</t>
  </si>
  <si>
    <t xml:space="preserve">On hold</t>
  </si>
  <si>
    <t xml:space="preserve">Dead</t>
  </si>
  <si>
    <t xml:space="preserve">First-Wave Call List — 30 accounts to contact in the next 2-3 weeks</t>
  </si>
  <si>
    <t xml:space="preserve">Picked for: fresh signal (funding / relocation / new HQ / regulatory deadline) × Chinese-speaking decision makers × fit with your 5 role directions. Opening lines are drafts — adapt to each contact.</t>
  </si>
  <si>
    <t xml:space="preserve">Why now</t>
  </si>
  <si>
    <t xml:space="preserve">Roles to pitch</t>
  </si>
  <si>
    <r>
      <rPr>
        <b val="true"/>
        <sz val="11"/>
        <color rgb="FFFFFFFF"/>
        <rFont val="Arial"/>
        <family val="0"/>
        <charset val="1"/>
      </rPr>
      <t xml:space="preserve">Draft opening line (</t>
    </r>
    <r>
      <rPr>
        <b val="true"/>
        <sz val="11"/>
        <color rgb="FFFFFFFF"/>
        <rFont val="WenQuanYi Zen Hei"/>
        <family val="2"/>
      </rPr>
      <t xml:space="preserve">中文 </t>
    </r>
    <r>
      <rPr>
        <b val="true"/>
        <sz val="11"/>
        <color rgb="FFFFFFFF"/>
        <rFont val="Arial"/>
        <family val="0"/>
        <charset val="1"/>
      </rPr>
      <t xml:space="preserve">for Chinese-speaking HQ / English for local)</t>
    </r>
  </si>
  <si>
    <t xml:space="preserve">Notes</t>
  </si>
  <si>
    <t xml:space="preserve">New APAC HQ 16 Sep 2026; 100→150 hires; first overseas R&amp;D hub</t>
  </si>
  <si>
    <t xml:space="preserve">AI / agent engineers, data scientists</t>
  </si>
  <si>
    <r>
      <rPr>
        <sz val="10"/>
        <rFont val="WenQuanYi Zen Hei"/>
        <family val="2"/>
      </rPr>
      <t xml:space="preserve">看到</t>
    </r>
    <r>
      <rPr>
        <sz val="10"/>
        <rFont val="Arial"/>
        <family val="0"/>
        <charset val="1"/>
      </rPr>
      <t xml:space="preserve">Plaud</t>
    </r>
    <r>
      <rPr>
        <sz val="10"/>
        <rFont val="WenQuanYi Zen Hei"/>
        <family val="2"/>
      </rPr>
      <t xml:space="preserve">新加坡</t>
    </r>
    <r>
      <rPr>
        <sz val="10"/>
        <rFont val="Arial"/>
        <family val="0"/>
        <charset val="1"/>
      </rPr>
      <t xml:space="preserve">APAC</t>
    </r>
    <r>
      <rPr>
        <sz val="10"/>
        <rFont val="WenQuanYi Zen Hei"/>
        <family val="2"/>
      </rPr>
      <t xml:space="preserve">总部刚开业、团队</t>
    </r>
    <r>
      <rPr>
        <sz val="10"/>
        <rFont val="Arial"/>
        <family val="0"/>
        <charset val="1"/>
      </rPr>
      <t xml:space="preserve">9</t>
    </r>
    <r>
      <rPr>
        <sz val="10"/>
        <rFont val="WenQuanYi Zen Hei"/>
        <family val="2"/>
      </rPr>
      <t xml:space="preserve">个月从</t>
    </r>
    <r>
      <rPr>
        <sz val="10"/>
        <rFont val="Arial"/>
        <family val="0"/>
        <charset val="1"/>
      </rPr>
      <t xml:space="preserve">10</t>
    </r>
    <r>
      <rPr>
        <sz val="10"/>
        <rFont val="WenQuanYi Zen Hei"/>
        <family val="2"/>
      </rPr>
      <t xml:space="preserve">人到</t>
    </r>
    <r>
      <rPr>
        <sz val="10"/>
        <rFont val="Arial"/>
        <family val="0"/>
        <charset val="1"/>
      </rPr>
      <t xml:space="preserve">100</t>
    </r>
    <r>
      <rPr>
        <sz val="10"/>
        <rFont val="WenQuanYi Zen Hei"/>
        <family val="2"/>
      </rPr>
      <t xml:space="preserve">人——剩下</t>
    </r>
    <r>
      <rPr>
        <sz val="10"/>
        <rFont val="Arial"/>
        <family val="0"/>
        <charset val="1"/>
      </rPr>
      <t xml:space="preserve">50</t>
    </r>
    <r>
      <rPr>
        <sz val="10"/>
        <rFont val="WenQuanYi Zen Hei"/>
        <family val="2"/>
      </rPr>
      <t xml:space="preserve">个岗位里</t>
    </r>
    <r>
      <rPr>
        <sz val="10"/>
        <rFont val="Arial"/>
        <family val="0"/>
        <charset val="1"/>
      </rPr>
      <t xml:space="preserve">AI/Agent</t>
    </r>
    <r>
      <rPr>
        <sz val="10"/>
        <rFont val="WenQuanYi Zen Hei"/>
        <family val="2"/>
      </rPr>
      <t xml:space="preserve">工程师最难招，我手上有在新加坡、做过</t>
    </r>
    <r>
      <rPr>
        <sz val="10"/>
        <rFont val="Arial"/>
        <family val="0"/>
        <charset val="1"/>
      </rPr>
      <t xml:space="preserve">LLM</t>
    </r>
    <r>
      <rPr>
        <sz val="10"/>
        <rFont val="WenQuanYi Zen Hei"/>
        <family val="2"/>
      </rPr>
      <t xml:space="preserve">应用的候选人。</t>
    </r>
  </si>
  <si>
    <t xml:space="preserve">US$20M Series A on 5 Oct 2026</t>
  </si>
  <si>
    <t xml:space="preserve">Forward-deployed / data engineers, AI governance</t>
  </si>
  <si>
    <t xml:space="preserve">Congrats on the Series A — as you scale into Japan, I can help with forward-deployed and data engineers who have shipped enterprise AI in regulated industries.</t>
  </si>
  <si>
    <t xml:space="preserve">AGI research consolidated in SG (Jan 2026); Shanghai staff relocating</t>
  </si>
  <si>
    <t xml:space="preserve">Research engineers, LLM infra, AI safety/verification</t>
  </si>
  <si>
    <r>
      <rPr>
        <sz val="10"/>
        <rFont val="WenQuanYi Zen Hei"/>
        <family val="2"/>
      </rPr>
      <t xml:space="preserve">研究团队整体迁到新加坡后，一定有不愿搬的同事需要本地补位——我可以帮你们在新加坡本地补齐研究工程和</t>
    </r>
    <r>
      <rPr>
        <sz val="10"/>
        <rFont val="Arial"/>
        <family val="0"/>
        <charset val="1"/>
      </rPr>
      <t xml:space="preserve">LLM infra</t>
    </r>
    <r>
      <rPr>
        <sz val="10"/>
        <rFont val="WenQuanYi Zen Hei"/>
        <family val="2"/>
      </rPr>
      <t xml:space="preserve">岗位。</t>
    </r>
  </si>
  <si>
    <t xml:space="preserve">US$22M pre-Series A, physical-AI data infra</t>
  </si>
  <si>
    <t xml:space="preserve">Data engineers (core)</t>
  </si>
  <si>
    <t xml:space="preserve">Your product is data infrastructure — I specialise in data engineers and can bring 3-5 vetted profiles within two weeks.</t>
  </si>
  <si>
    <t xml:space="preserve">MAS AI Risk Guidelines (7 Oct 2026) + heavy data/AI</t>
  </si>
  <si>
    <t xml:space="preserve">AI Risk, AI Gov, data engineers</t>
  </si>
  <si>
    <r>
      <rPr>
        <sz val="10"/>
        <rFont val="Arial"/>
        <family val="0"/>
        <charset val="1"/>
      </rPr>
      <t xml:space="preserve">MAS 10</t>
    </r>
    <r>
      <rPr>
        <sz val="10"/>
        <rFont val="WenQuanYi Zen Hei"/>
        <family val="2"/>
      </rPr>
      <t xml:space="preserve">月</t>
    </r>
    <r>
      <rPr>
        <sz val="10"/>
        <rFont val="Arial"/>
        <family val="0"/>
        <charset val="1"/>
      </rPr>
      <t xml:space="preserve">7</t>
    </r>
    <r>
      <rPr>
        <sz val="10"/>
        <rFont val="WenQuanYi Zen Hei"/>
        <family val="2"/>
      </rPr>
      <t xml:space="preserve">日刚发布</t>
    </r>
    <r>
      <rPr>
        <sz val="10"/>
        <rFont val="Arial"/>
        <family val="0"/>
        <charset val="1"/>
      </rPr>
      <t xml:space="preserve">AI</t>
    </r>
    <r>
      <rPr>
        <sz val="10"/>
        <rFont val="WenQuanYi Zen Hei"/>
        <family val="2"/>
      </rPr>
      <t xml:space="preserve">风险管理指引，</t>
    </r>
    <r>
      <rPr>
        <sz val="10"/>
        <rFont val="Arial"/>
        <family val="0"/>
        <charset val="1"/>
      </rPr>
      <t xml:space="preserve">12</t>
    </r>
    <r>
      <rPr>
        <sz val="10"/>
        <rFont val="WenQuanYi Zen Hei"/>
        <family val="2"/>
      </rPr>
      <t xml:space="preserve">个月过渡期——富途新加坡作为持牌机构需要</t>
    </r>
    <r>
      <rPr>
        <sz val="10"/>
        <rFont val="Arial"/>
        <family val="0"/>
        <charset val="1"/>
      </rPr>
      <t xml:space="preserve">AI</t>
    </r>
    <r>
      <rPr>
        <sz val="10"/>
        <rFont val="WenQuanYi Zen Hei"/>
        <family val="2"/>
      </rPr>
      <t xml:space="preserve">治理</t>
    </r>
    <r>
      <rPr>
        <sz val="10"/>
        <rFont val="Arial"/>
        <family val="0"/>
        <charset val="1"/>
      </rPr>
      <t xml:space="preserve">/</t>
    </r>
    <r>
      <rPr>
        <sz val="10"/>
        <rFont val="WenQuanYi Zen Hei"/>
        <family val="2"/>
      </rPr>
      <t xml:space="preserve">模型风险岗位，这类人才在市场上非常稀缺。</t>
    </r>
  </si>
  <si>
    <t xml:space="preserve">Tiger Brokers Singapore</t>
  </si>
  <si>
    <t xml:space="preserve">Same MAS deadline</t>
  </si>
  <si>
    <r>
      <rPr>
        <sz val="10"/>
        <rFont val="WenQuanYi Zen Hei"/>
        <family val="2"/>
      </rPr>
      <t xml:space="preserve">同上：</t>
    </r>
    <r>
      <rPr>
        <sz val="10"/>
        <rFont val="Arial"/>
        <family val="0"/>
        <charset val="1"/>
      </rPr>
      <t xml:space="preserve">MAS AI</t>
    </r>
    <r>
      <rPr>
        <sz val="10"/>
        <rFont val="WenQuanYi Zen Hei"/>
        <family val="2"/>
      </rPr>
      <t xml:space="preserve">风险指引的</t>
    </r>
    <r>
      <rPr>
        <sz val="10"/>
        <rFont val="Arial"/>
        <family val="0"/>
        <charset val="1"/>
      </rPr>
      <t xml:space="preserve">12</t>
    </r>
    <r>
      <rPr>
        <sz val="10"/>
        <rFont val="WenQuanYi Zen Hei"/>
        <family val="2"/>
      </rPr>
      <t xml:space="preserve">个月过渡期，老虎新加坡需要提前布局</t>
    </r>
    <r>
      <rPr>
        <sz val="10"/>
        <rFont val="Arial"/>
        <family val="0"/>
        <charset val="1"/>
      </rPr>
      <t xml:space="preserve">AI</t>
    </r>
    <r>
      <rPr>
        <sz val="10"/>
        <rFont val="WenQuanYi Zen Hei"/>
        <family val="2"/>
      </rPr>
      <t xml:space="preserve">治理和模型验证团队。</t>
    </r>
  </si>
  <si>
    <t xml:space="preserve">SG global HQ; AI SHIELD fraud AI; ANEXT bank under MAS rules</t>
  </si>
  <si>
    <t xml:space="preserve">AI Risk, AI Security, AI Gov</t>
  </si>
  <si>
    <r>
      <rPr>
        <sz val="10"/>
        <rFont val="Arial"/>
        <family val="0"/>
        <charset val="1"/>
      </rPr>
      <t xml:space="preserve">Ant International </t>
    </r>
    <r>
      <rPr>
        <sz val="10"/>
        <rFont val="WenQuanYi Zen Hei"/>
        <family val="2"/>
      </rPr>
      <t xml:space="preserve">的 </t>
    </r>
    <r>
      <rPr>
        <sz val="10"/>
        <rFont val="Arial"/>
        <family val="0"/>
        <charset val="1"/>
      </rPr>
      <t xml:space="preserve">AI </t>
    </r>
    <r>
      <rPr>
        <sz val="10"/>
        <rFont val="WenQuanYi Zen Hei"/>
        <family val="2"/>
      </rPr>
      <t xml:space="preserve">风控与 </t>
    </r>
    <r>
      <rPr>
        <sz val="10"/>
        <rFont val="Arial"/>
        <family val="0"/>
        <charset val="1"/>
      </rPr>
      <t xml:space="preserve">ANEXT </t>
    </r>
    <r>
      <rPr>
        <sz val="10"/>
        <rFont val="WenQuanYi Zen Hei"/>
        <family val="2"/>
      </rPr>
      <t xml:space="preserve">银行的 </t>
    </r>
    <r>
      <rPr>
        <sz val="10"/>
        <rFont val="Arial"/>
        <family val="0"/>
        <charset val="1"/>
      </rPr>
      <t xml:space="preserve">MAS </t>
    </r>
    <r>
      <rPr>
        <sz val="10"/>
        <rFont val="WenQuanYi Zen Hei"/>
        <family val="2"/>
      </rPr>
      <t xml:space="preserve">合规双线都在扩——我专注 </t>
    </r>
    <r>
      <rPr>
        <sz val="10"/>
        <rFont val="Arial"/>
        <family val="0"/>
        <charset val="1"/>
      </rPr>
      <t xml:space="preserve">AI Risk / AI Security </t>
    </r>
    <r>
      <rPr>
        <sz val="10"/>
        <rFont val="WenQuanYi Zen Hei"/>
        <family val="2"/>
      </rPr>
      <t xml:space="preserve">这个细分，可以按业务线分别对接。</t>
    </r>
  </si>
  <si>
    <t xml:space="preserve">ByteDance Seed (SG lab)</t>
  </si>
  <si>
    <t xml:space="preserve">~100 AI roles open (Feb 2026); SG is one of 3 lab sites</t>
  </si>
  <si>
    <t xml:space="preserve">Research engineers, AI safety, LLM infra</t>
  </si>
  <si>
    <r>
      <rPr>
        <sz val="10"/>
        <rFont val="Arial"/>
        <family val="0"/>
        <charset val="1"/>
      </rPr>
      <t xml:space="preserve">Seed</t>
    </r>
    <r>
      <rPr>
        <sz val="10"/>
        <rFont val="WenQuanYi Zen Hei"/>
        <family val="2"/>
      </rPr>
      <t xml:space="preserve">新加坡和</t>
    </r>
    <r>
      <rPr>
        <sz val="10"/>
        <rFont val="Arial"/>
        <family val="0"/>
        <charset val="1"/>
      </rPr>
      <t xml:space="preserve">TikTok</t>
    </r>
    <r>
      <rPr>
        <sz val="10"/>
        <rFont val="WenQuanYi Zen Hei"/>
        <family val="2"/>
      </rPr>
      <t xml:space="preserve">是不同的招聘团队——我想单独聊</t>
    </r>
    <r>
      <rPr>
        <sz val="10"/>
        <rFont val="Arial"/>
        <family val="0"/>
        <charset val="1"/>
      </rPr>
      <t xml:space="preserve">Seed</t>
    </r>
    <r>
      <rPr>
        <sz val="10"/>
        <rFont val="WenQuanYi Zen Hei"/>
        <family val="2"/>
      </rPr>
      <t xml:space="preserve">新加坡实验室的研究工程和</t>
    </r>
    <r>
      <rPr>
        <sz val="10"/>
        <rFont val="Arial"/>
        <family val="0"/>
        <charset val="1"/>
      </rPr>
      <t xml:space="preserve">AI</t>
    </r>
    <r>
      <rPr>
        <sz val="10"/>
        <rFont val="WenQuanYi Zen Hei"/>
        <family val="2"/>
      </rPr>
      <t xml:space="preserve">安全岗位。</t>
    </r>
  </si>
  <si>
    <t xml:space="preserve">SG subsidiaries confirmed; NUS/NTU AI recruiting</t>
  </si>
  <si>
    <t xml:space="preserve">AI Gov (overseas compliance), data, SWE</t>
  </si>
  <si>
    <r>
      <rPr>
        <sz val="10"/>
        <rFont val="WenQuanYi Zen Hei"/>
        <family val="2"/>
      </rPr>
      <t xml:space="preserve">新加坡和美国是</t>
    </r>
    <r>
      <rPr>
        <sz val="10"/>
        <rFont val="Arial"/>
        <family val="0"/>
        <charset val="1"/>
      </rPr>
      <t xml:space="preserve">MiniMax</t>
    </r>
    <r>
      <rPr>
        <sz val="10"/>
        <rFont val="WenQuanYi Zen Hei"/>
        <family val="2"/>
      </rPr>
      <t xml:space="preserve">最大的两个海外市场，本地合规和数据团队的搭建我可以帮忙，候选人中英文都能对接总部。</t>
    </r>
  </si>
  <si>
    <t xml:space="preserve">SG office confirmed; SEA sovereign-AI deals</t>
  </si>
  <si>
    <t xml:space="preserve">AI Gov, solutions/data engineers</t>
  </si>
  <si>
    <r>
      <rPr>
        <sz val="10"/>
        <rFont val="WenQuanYi Zen Hei"/>
        <family val="2"/>
      </rPr>
      <t xml:space="preserve">智谱在东南亚做主权</t>
    </r>
    <r>
      <rPr>
        <sz val="10"/>
        <rFont val="Arial"/>
        <family val="0"/>
        <charset val="1"/>
      </rPr>
      <t xml:space="preserve">AI</t>
    </r>
    <r>
      <rPr>
        <sz val="10"/>
        <rFont val="WenQuanYi Zen Hei"/>
        <family val="2"/>
      </rPr>
      <t xml:space="preserve">合作，新加坡团队需要懂本地监管</t>
    </r>
    <r>
      <rPr>
        <sz val="10"/>
        <rFont val="Arial"/>
        <family val="0"/>
        <charset val="1"/>
      </rPr>
      <t xml:space="preserve">(IMDA/AI Verify)</t>
    </r>
    <r>
      <rPr>
        <sz val="10"/>
        <rFont val="WenQuanYi Zen Hei"/>
        <family val="2"/>
      </rPr>
      <t xml:space="preserve">的</t>
    </r>
    <r>
      <rPr>
        <sz val="10"/>
        <rFont val="Arial"/>
        <family val="0"/>
        <charset val="1"/>
      </rPr>
      <t xml:space="preserve">AI</t>
    </r>
    <r>
      <rPr>
        <sz val="10"/>
        <rFont val="WenQuanYi Zen Hei"/>
        <family val="2"/>
      </rPr>
      <t xml:space="preserve">治理人才——这是我的专长方向。</t>
    </r>
  </si>
  <si>
    <t xml:space="preserve">ADVANCE.AI / Atome</t>
  </si>
  <si>
    <t xml:space="preserve">AI risk &amp; KYC is the product; licensed lending</t>
  </si>
  <si>
    <t xml:space="preserve">AI Risk, AI Security (deepfake/fraud), DE</t>
  </si>
  <si>
    <r>
      <rPr>
        <sz val="10"/>
        <rFont val="WenQuanYi Zen Hei"/>
        <family val="2"/>
      </rPr>
      <t xml:space="preserve">你们的核心就是</t>
    </r>
    <r>
      <rPr>
        <sz val="10"/>
        <rFont val="Arial"/>
        <family val="0"/>
        <charset val="1"/>
      </rPr>
      <t xml:space="preserve">AI</t>
    </r>
    <r>
      <rPr>
        <sz val="10"/>
        <rFont val="WenQuanYi Zen Hei"/>
        <family val="2"/>
      </rPr>
      <t xml:space="preserve">风控——</t>
    </r>
    <r>
      <rPr>
        <sz val="10"/>
        <rFont val="Arial"/>
        <family val="0"/>
        <charset val="1"/>
      </rPr>
      <t xml:space="preserve">MAS</t>
    </r>
    <r>
      <rPr>
        <sz val="10"/>
        <rFont val="WenQuanYi Zen Hei"/>
        <family val="2"/>
      </rPr>
      <t xml:space="preserve">新指引下模型风险和</t>
    </r>
    <r>
      <rPr>
        <sz val="10"/>
        <rFont val="Arial"/>
        <family val="0"/>
        <charset val="1"/>
      </rPr>
      <t xml:space="preserve">AI</t>
    </r>
    <r>
      <rPr>
        <sz val="10"/>
        <rFont val="WenQuanYi Zen Hei"/>
        <family val="2"/>
      </rPr>
      <t xml:space="preserve">安全岗位需求会集中爆发，我可以先给</t>
    </r>
    <r>
      <rPr>
        <sz val="10"/>
        <rFont val="Arial"/>
        <family val="0"/>
        <charset val="1"/>
      </rPr>
      <t xml:space="preserve">2-3</t>
    </r>
    <r>
      <rPr>
        <sz val="10"/>
        <rFont val="WenQuanYi Zen Hei"/>
        <family val="2"/>
      </rPr>
      <t xml:space="preserve">个对口候选人。</t>
    </r>
  </si>
  <si>
    <t xml:space="preserve">First SG security hire (Jun 2026)</t>
  </si>
  <si>
    <t xml:space="preserve">AI / agent security engineers</t>
  </si>
  <si>
    <t xml:space="preserve">Your first security hire in SG will define the function — I can bring candidates who have secured agentic / LLM systems, not just generic appsec.</t>
  </si>
  <si>
    <t xml:space="preserve">HoYoverse Singapore</t>
  </si>
  <si>
    <t xml:space="preserve">New SG HQ ramp-up (v1)</t>
  </si>
  <si>
    <t xml:space="preserve">Data engineers / analysts</t>
  </si>
  <si>
    <t xml:space="preserve">米哈游新加坡总部扩张期，我专注数据工程方向，可做长期合作的人才储备。</t>
  </si>
  <si>
    <t xml:space="preserve">SG HQ; local decision-making (v1)</t>
  </si>
  <si>
    <t xml:space="preserve">Data engineers, SWE</t>
  </si>
  <si>
    <r>
      <rPr>
        <sz val="10"/>
        <rFont val="Arial"/>
        <family val="0"/>
        <charset val="1"/>
      </rPr>
      <t xml:space="preserve">SHEIN</t>
    </r>
    <r>
      <rPr>
        <sz val="10"/>
        <rFont val="WenQuanYi Zen Hei"/>
        <family val="2"/>
      </rPr>
      <t xml:space="preserve">新加坡总部决策在本地，供应链</t>
    </r>
    <r>
      <rPr>
        <sz val="10"/>
        <rFont val="Arial"/>
        <family val="0"/>
        <charset val="1"/>
      </rPr>
      <t xml:space="preserve">/</t>
    </r>
    <r>
      <rPr>
        <sz val="10"/>
        <rFont val="WenQuanYi Zen Hei"/>
        <family val="2"/>
      </rPr>
      <t xml:space="preserve">定价</t>
    </r>
    <r>
      <rPr>
        <sz val="10"/>
        <rFont val="Arial"/>
        <family val="0"/>
        <charset val="1"/>
      </rPr>
      <t xml:space="preserve">/</t>
    </r>
    <r>
      <rPr>
        <sz val="10"/>
        <rFont val="WenQuanYi Zen Hei"/>
        <family val="2"/>
      </rPr>
      <t xml:space="preserve">广告数据岗位我可以长期支持。</t>
    </r>
  </si>
  <si>
    <t xml:space="preserve">TikTok / ByteDance SG</t>
  </si>
  <si>
    <t xml:space="preserve">Global compliance scrutiny (v1)</t>
  </si>
  <si>
    <t xml:space="preserve">AI Gov, AI Security (T&amp;S), DE</t>
  </si>
  <si>
    <t xml:space="preserve">Pitch a standing-search agreement for AI governance + trust &amp; safety engineers.</t>
  </si>
  <si>
    <t xml:space="preserve">144 open roles (Sep 2026, v1) + MAS deadline</t>
  </si>
  <si>
    <t xml:space="preserve">Data, AI Risk/Gov</t>
  </si>
  <si>
    <r>
      <rPr>
        <sz val="10"/>
        <rFont val="WenQuanYi Zen Hei"/>
        <family val="2"/>
      </rPr>
      <t xml:space="preserve">华泰新加坡在扩张期，加上</t>
    </r>
    <r>
      <rPr>
        <sz val="10"/>
        <rFont val="Arial"/>
        <family val="0"/>
        <charset val="1"/>
      </rPr>
      <t xml:space="preserve">MAS AI</t>
    </r>
    <r>
      <rPr>
        <sz val="10"/>
        <rFont val="WenQuanYi Zen Hei"/>
        <family val="2"/>
      </rPr>
      <t xml:space="preserve">风险指引，数据和</t>
    </r>
    <r>
      <rPr>
        <sz val="10"/>
        <rFont val="Arial"/>
        <family val="0"/>
        <charset val="1"/>
      </rPr>
      <t xml:space="preserve">AI</t>
    </r>
    <r>
      <rPr>
        <sz val="10"/>
        <rFont val="WenQuanYi Zen Hei"/>
        <family val="2"/>
      </rPr>
      <t xml:space="preserve">治理岗位可以一起谈。</t>
    </r>
  </si>
  <si>
    <t xml:space="preserve">MAS AI Risk Guidelines now apply to branches</t>
  </si>
  <si>
    <t xml:space="preserve">AI Gov, AI Risk, DE</t>
  </si>
  <si>
    <r>
      <rPr>
        <sz val="10"/>
        <rFont val="WenQuanYi Zen Hei"/>
        <family val="2"/>
      </rPr>
      <t xml:space="preserve">总部可能还不了解</t>
    </r>
    <r>
      <rPr>
        <sz val="10"/>
        <rFont val="Arial"/>
        <family val="0"/>
        <charset val="1"/>
      </rPr>
      <t xml:space="preserve">MAS 10</t>
    </r>
    <r>
      <rPr>
        <sz val="10"/>
        <rFont val="WenQuanYi Zen Hei"/>
        <family val="2"/>
      </rPr>
      <t xml:space="preserve">月</t>
    </r>
    <r>
      <rPr>
        <sz val="10"/>
        <rFont val="Arial"/>
        <family val="0"/>
        <charset val="1"/>
      </rPr>
      <t xml:space="preserve">7</t>
    </r>
    <r>
      <rPr>
        <sz val="10"/>
        <rFont val="WenQuanYi Zen Hei"/>
        <family val="2"/>
      </rPr>
      <t xml:space="preserve">日的</t>
    </r>
    <r>
      <rPr>
        <sz val="10"/>
        <rFont val="Arial"/>
        <family val="0"/>
        <charset val="1"/>
      </rPr>
      <t xml:space="preserve">AI</t>
    </r>
    <r>
      <rPr>
        <sz val="10"/>
        <rFont val="WenQuanYi Zen Hei"/>
        <family val="2"/>
      </rPr>
      <t xml:space="preserve">风险管理指引对新加坡分行的要求——我可以先做一个简短的人才市场</t>
    </r>
    <r>
      <rPr>
        <sz val="10"/>
        <rFont val="Arial"/>
        <family val="0"/>
        <charset val="1"/>
      </rPr>
      <t xml:space="preserve">+</t>
    </r>
    <r>
      <rPr>
        <sz val="10"/>
        <rFont val="WenQuanYi Zen Hei"/>
        <family val="2"/>
      </rPr>
      <t xml:space="preserve">合规岗位说明。</t>
    </r>
  </si>
  <si>
    <t xml:space="preserve">SG-HQ'd; recsys / moderation / ads</t>
  </si>
  <si>
    <t xml:space="preserve">Data engineers, AI content-security</t>
  </si>
  <si>
    <r>
      <rPr>
        <sz val="10"/>
        <rFont val="Arial"/>
        <family val="0"/>
        <charset val="1"/>
      </rPr>
      <t xml:space="preserve">Bigo</t>
    </r>
    <r>
      <rPr>
        <sz val="10"/>
        <rFont val="WenQuanYi Zen Hei"/>
        <family val="2"/>
      </rPr>
      <t xml:space="preserve">新加坡总部的数据和内容安全团队，我有对口的海外候选人储备。</t>
    </r>
  </si>
  <si>
    <t xml:space="preserve">SG global HQ for AIoT / energy-AI</t>
  </si>
  <si>
    <t xml:space="preserve">Data platform engineers, AI Gov</t>
  </si>
  <si>
    <r>
      <rPr>
        <sz val="10"/>
        <rFont val="WenQuanYi Zen Hei"/>
        <family val="2"/>
      </rPr>
      <t xml:space="preserve">远景智能新加坡总部的数据平台和</t>
    </r>
    <r>
      <rPr>
        <sz val="10"/>
        <rFont val="Arial"/>
        <family val="0"/>
        <charset val="1"/>
      </rPr>
      <t xml:space="preserve">AI</t>
    </r>
    <r>
      <rPr>
        <sz val="10"/>
        <rFont val="WenQuanYi Zen Hei"/>
        <family val="2"/>
      </rPr>
      <t xml:space="preserve">治理岗位，我可以中英文双向对接总部和本地候选人。</t>
    </r>
  </si>
  <si>
    <t xml:space="preserve">SG HQ + China R&amp;D; LLM products</t>
  </si>
  <si>
    <t xml:space="preserve">Data / LLM engineers</t>
  </si>
  <si>
    <r>
      <rPr>
        <sz val="10"/>
        <rFont val="WenQuanYi Zen Hei"/>
        <family val="2"/>
      </rPr>
      <t xml:space="preserve">智慧芽新加坡的</t>
    </r>
    <r>
      <rPr>
        <sz val="10"/>
        <rFont val="Arial"/>
        <family val="0"/>
        <charset val="1"/>
      </rPr>
      <t xml:space="preserve">LLM</t>
    </r>
    <r>
      <rPr>
        <sz val="10"/>
        <rFont val="WenQuanYi Zen Hei"/>
        <family val="2"/>
      </rPr>
      <t xml:space="preserve">和数据岗位，我能找到懂中英文、能和苏州研发团队协作的候选人。</t>
    </r>
  </si>
  <si>
    <t xml:space="preserve">SG office; Chinese founders; unicorn</t>
  </si>
  <si>
    <t xml:space="preserve">SWE, data, agent security</t>
  </si>
  <si>
    <r>
      <rPr>
        <sz val="10"/>
        <rFont val="Arial"/>
        <family val="0"/>
        <charset val="1"/>
      </rPr>
      <t xml:space="preserve">Genspark</t>
    </r>
    <r>
      <rPr>
        <sz val="10"/>
        <rFont val="WenQuanYi Zen Hei"/>
        <family val="2"/>
      </rPr>
      <t xml:space="preserve">新加坡办公室如果要加工程团队，我可以先给几个做过</t>
    </r>
    <r>
      <rPr>
        <sz val="10"/>
        <rFont val="Arial"/>
        <family val="0"/>
        <charset val="1"/>
      </rPr>
      <t xml:space="preserve">Agent</t>
    </r>
    <r>
      <rPr>
        <sz val="10"/>
        <rFont val="WenQuanYi Zen Hei"/>
        <family val="2"/>
      </rPr>
      <t xml:space="preserve">产品的候选人。</t>
    </r>
  </si>
  <si>
    <t xml:space="preserve">SG HQ; pivot into AI cloud/HPC</t>
  </si>
  <si>
    <t xml:space="preserve">AI infra / data engineers</t>
  </si>
  <si>
    <r>
      <rPr>
        <sz val="10"/>
        <rFont val="WenQuanYi Zen Hei"/>
        <family val="2"/>
      </rPr>
      <t xml:space="preserve">比特小鹿转型</t>
    </r>
    <r>
      <rPr>
        <sz val="10"/>
        <rFont val="Arial"/>
        <family val="0"/>
        <charset val="1"/>
      </rPr>
      <t xml:space="preserve">AI</t>
    </r>
    <r>
      <rPr>
        <sz val="10"/>
        <rFont val="WenQuanYi Zen Hei"/>
        <family val="2"/>
      </rPr>
      <t xml:space="preserve">算力云，新加坡总部的</t>
    </r>
    <r>
      <rPr>
        <sz val="10"/>
        <rFont val="Arial"/>
        <family val="0"/>
        <charset val="1"/>
      </rPr>
      <t xml:space="preserve">infra</t>
    </r>
    <r>
      <rPr>
        <sz val="10"/>
        <rFont val="WenQuanYi Zen Hei"/>
        <family val="2"/>
      </rPr>
      <t xml:space="preserve">和数据岗位我可以支持。</t>
    </r>
  </si>
  <si>
    <t xml:space="preserve">Sea / MariBank</t>
  </si>
  <si>
    <t xml:space="preserve">MariBank under MAS AI Risk rules; Shopee AI CoE</t>
  </si>
  <si>
    <t xml:space="preserve">AI Risk/Gov, DE, T&amp;S security</t>
  </si>
  <si>
    <t xml:space="preserve">Pitch MariBank AI risk + Shopee AI CoE data roles as two separate entry points.</t>
  </si>
  <si>
    <t xml:space="preserve">Live AI Governance role (v1)</t>
  </si>
  <si>
    <t xml:space="preserve">Bring banking-background AI governance candidates moving into insurance.</t>
  </si>
  <si>
    <t xml:space="preserve">VP Advanced AI Risk Specialist (v1)</t>
  </si>
  <si>
    <t xml:space="preserve">AI Risk (agentic AI validation)</t>
  </si>
  <si>
    <t xml:space="preserve">Offer cross-industry ML-validation profiles for agentic-AI risk.</t>
  </si>
  <si>
    <t xml:space="preserve">MAS deadline; two AI governance teams (v1)</t>
  </si>
  <si>
    <t xml:space="preserve">AI Gov, AI Risk</t>
  </si>
  <si>
    <t xml:space="preserve">Unified cross-team shortlist for Risk + Transformation AI governance roles.</t>
  </si>
  <si>
    <t xml:space="preserve">AI Governance consulting hiring (v1)</t>
  </si>
  <si>
    <t xml:space="preserve">Quick-win agency client — consulting firms use agencies routinely.</t>
  </si>
  <si>
    <t xml:space="preserve">AI assurance pure-play; IMDA Spark</t>
  </si>
  <si>
    <t xml:space="preserve">AI Gov, AI assurance / red-team</t>
  </si>
  <si>
    <t xml:space="preserve">Every hire here is your niche — position as their go-to AI assurance recruiter.</t>
  </si>
  <si>
    <r>
      <rPr>
        <b val="true"/>
        <sz val="10"/>
        <rFont val="Arial"/>
        <family val="0"/>
        <charset val="1"/>
      </rPr>
      <t xml:space="preserve">Lingjun Investment (</t>
    </r>
    <r>
      <rPr>
        <b val="true"/>
        <sz val="10"/>
        <rFont val="WenQuanYi Zen Hei"/>
        <family val="2"/>
      </rPr>
      <t xml:space="preserve">灵均投资</t>
    </r>
    <r>
      <rPr>
        <b val="true"/>
        <sz val="10"/>
        <rFont val="Arial"/>
        <family val="0"/>
        <charset val="1"/>
      </rPr>
      <t xml:space="preserve">)</t>
    </r>
  </si>
  <si>
    <t xml:space="preserve">SG + HK offices set up as overseas bridgeheads (Feb 2026); recruiting research + compliance talent</t>
  </si>
  <si>
    <t xml:space="preserve">Quant data engineers, risk/compliance</t>
  </si>
  <si>
    <t xml:space="preserve">看到灵均在新加坡设了办公室、在招投研和合规人才——我专注量化数据工程方向，可以先推荐几位在新加坡本地、做过量化数据基础设施的候选人。</t>
  </si>
  <si>
    <t xml:space="preserve">Apr 2026: approval for by-invite robotaxi rides in SG (final step before public service)</t>
  </si>
  <si>
    <t xml:space="preserve">AV safety (AI Risk), data, SWE</t>
  </si>
  <si>
    <t xml:space="preserve">小马智行在新加坡已获批进入邀请制运营阶段，正式商业化前本地安全验证和数据工程团队需要扩充。</t>
  </si>
  <si>
    <t xml:space="preserve">Search Playbook — how to find more Chinese-connected clients &amp; verify 'D' rows</t>
  </si>
  <si>
    <t xml:space="preserve">FIND CHINESE TECH LEADERS (for 'D' rows)</t>
  </si>
  <si>
    <t xml:space="preserve">LinkedIn Sales Navigator — account filter</t>
  </si>
  <si>
    <t xml:space="preserve">Account HQ / location = Singapore; Headcount 50+; then Lead filter: Geography = Singapore, Seniority = Director/VP/CXO, Function = Engineering / IT / Risk</t>
  </si>
  <si>
    <t xml:space="preserve">…plus school filter</t>
  </si>
  <si>
    <t xml:space="preserve">School = Tsinghua, Peking, Zhejiang, Shanghai Jiao Tong, Fudan, USTC, Nanjing, Wuhan, HUST, Harbin IT, Beihang, Sun Yat-sen  (also NUS/NTU with past company = ByteDance/Alibaba/Tencent/Baidu/Huawei)</t>
  </si>
  <si>
    <t xml:space="preserve">…plus language / past-company filter</t>
  </si>
  <si>
    <t xml:space="preserve">Profile language = Chinese, OR past company IN (ByteDance, Alibaba, Ant, Tencent, Baidu, Huawei, Meituan, JD, Pinduoduo, Kuaishou, NetEase, Xiaomi)</t>
  </si>
  <si>
    <t xml:space="preserve">Boolean (titles) — AI Gov / Risk</t>
  </si>
  <si>
    <t xml:space="preserve">("AI governance" OR "responsible AI" OR "model risk" OR "AI risk" OR "model validation") AND (Singapore)</t>
  </si>
  <si>
    <t xml:space="preserve">Boolean (titles) — AI Security</t>
  </si>
  <si>
    <t xml:space="preserve">("AI security" OR "LLM security" OR "AI red team" OR "adversarial" OR "trust and safety engineer") AND Singapore</t>
  </si>
  <si>
    <t xml:space="preserve">Find Chinese-speaking TA</t>
  </si>
  <si>
    <t xml:space="preserve">Title: ("talent acquisition" OR recruiter OR "HRBP") + Profile language = Chinese + Geography = Singapore  → these are your warmest entry points</t>
  </si>
  <si>
    <t xml:space="preserve">FIND NEW CHINESE COMPANIES IN SG</t>
  </si>
  <si>
    <t xml:space="preserve">Chinese media keywords</t>
  </si>
  <si>
    <r>
      <rPr>
        <sz val="10"/>
        <rFont val="Arial"/>
        <family val="0"/>
        <charset val="1"/>
      </rPr>
      <t xml:space="preserve">36Kr / </t>
    </r>
    <r>
      <rPr>
        <sz val="10"/>
        <rFont val="WenQuanYi Zen Hei"/>
        <family val="2"/>
      </rPr>
      <t xml:space="preserve">晚点</t>
    </r>
    <r>
      <rPr>
        <sz val="10"/>
        <rFont val="Arial"/>
        <family val="0"/>
        <charset val="1"/>
      </rPr>
      <t xml:space="preserve">LatePost / </t>
    </r>
    <r>
      <rPr>
        <sz val="10"/>
        <rFont val="WenQuanYi Zen Hei"/>
        <family val="2"/>
      </rPr>
      <t xml:space="preserve">虎嗅 </t>
    </r>
    <r>
      <rPr>
        <sz val="10"/>
        <rFont val="Arial"/>
        <family val="0"/>
        <charset val="1"/>
      </rPr>
      <t xml:space="preserve">/ </t>
    </r>
    <r>
      <rPr>
        <sz val="10"/>
        <rFont val="WenQuanYi Zen Hei"/>
        <family val="2"/>
      </rPr>
      <t xml:space="preserve">甲子光年 </t>
    </r>
    <r>
      <rPr>
        <sz val="10"/>
        <rFont val="Arial"/>
        <family val="0"/>
        <charset val="1"/>
      </rPr>
      <t xml:space="preserve">/ </t>
    </r>
    <r>
      <rPr>
        <sz val="10"/>
        <rFont val="WenQuanYi Zen Hei"/>
        <family val="2"/>
      </rPr>
      <t xml:space="preserve">出海网</t>
    </r>
    <r>
      <rPr>
        <sz val="10"/>
        <rFont val="Arial"/>
        <family val="0"/>
        <charset val="1"/>
      </rPr>
      <t xml:space="preserve">: “</t>
    </r>
    <r>
      <rPr>
        <sz val="10"/>
        <rFont val="WenQuanYi Zen Hei"/>
        <family val="2"/>
      </rPr>
      <t xml:space="preserve">新加坡 总部”</t>
    </r>
    <r>
      <rPr>
        <sz val="10"/>
        <rFont val="Arial"/>
        <family val="0"/>
        <charset val="1"/>
      </rPr>
      <t xml:space="preserve">, “</t>
    </r>
    <r>
      <rPr>
        <sz val="10"/>
        <rFont val="WenQuanYi Zen Hei"/>
        <family val="2"/>
      </rPr>
      <t xml:space="preserve">出海 新加坡 招聘”</t>
    </r>
    <r>
      <rPr>
        <sz val="10"/>
        <rFont val="Arial"/>
        <family val="0"/>
        <charset val="1"/>
      </rPr>
      <t xml:space="preserve">, “</t>
    </r>
    <r>
      <rPr>
        <sz val="10"/>
        <rFont val="WenQuanYi Zen Hei"/>
        <family val="2"/>
      </rPr>
      <t xml:space="preserve">迁往新加坡”</t>
    </r>
    <r>
      <rPr>
        <sz val="10"/>
        <rFont val="Arial"/>
        <family val="0"/>
        <charset val="1"/>
      </rPr>
      <t xml:space="preserve">, “</t>
    </r>
    <r>
      <rPr>
        <sz val="10"/>
        <rFont val="WenQuanYi Zen Hei"/>
        <family val="2"/>
      </rPr>
      <t xml:space="preserve">新加坡 研发中心”</t>
    </r>
    <r>
      <rPr>
        <sz val="10"/>
        <rFont val="Arial"/>
        <family val="0"/>
        <charset val="1"/>
      </rPr>
      <t xml:space="preserve">, “AI </t>
    </r>
    <r>
      <rPr>
        <sz val="10"/>
        <rFont val="WenQuanYi Zen Hei"/>
        <family val="2"/>
      </rPr>
      <t xml:space="preserve">出海 新加坡”</t>
    </r>
  </si>
  <si>
    <t xml:space="preserve">English media</t>
  </si>
  <si>
    <t xml:space="preserve">EDB newsroom (new HQ announcements), Business Times, Tech in Asia, e27, KrASIA 'Deals in brief', DealStreetAsia — search: 'China-founded' + 'Singapore headquarters'</t>
  </si>
  <si>
    <t xml:space="preserve">Company registry</t>
  </si>
  <si>
    <t xml:space="preserve">ACRA BizFile: search '[Chinese company English name] Pte. Ltd.' — new entities = expansion signal. Cross-check with HK IPO prospectuses (list SG subsidiaries — e.g. MiniMax, Zhipu)</t>
  </si>
  <si>
    <t xml:space="preserve">Regulator directories</t>
  </si>
  <si>
    <t xml:space="preserve">MAS Financial Institutions Directory: filter new licensees (CMS, MPI, DWB) — every licensed entity now falls under MAS AI Risk Guidelines</t>
  </si>
  <si>
    <t xml:space="preserve">Job-board signal</t>
  </si>
  <si>
    <t xml:space="preserve">MyCareersFuture.gov.sg: filter employer name; volume of new postings in last 30 days = hiring burst. LinkedIn Jobs: 'Singapore' + company + 'data engineer / AI'</t>
  </si>
  <si>
    <t xml:space="preserve">Communities &amp; events</t>
  </si>
  <si>
    <r>
      <rPr>
        <sz val="10"/>
        <rFont val="Arial"/>
        <family val="0"/>
        <charset val="1"/>
      </rPr>
      <t xml:space="preserve">SCCCI (</t>
    </r>
    <r>
      <rPr>
        <sz val="10"/>
        <rFont val="WenQuanYi Zen Hei"/>
        <family val="2"/>
      </rPr>
      <t xml:space="preserve">新加坡中华总商会</t>
    </r>
    <r>
      <rPr>
        <sz val="10"/>
        <rFont val="Arial"/>
        <family val="0"/>
        <charset val="1"/>
      </rPr>
      <t xml:space="preserve">), China Enterprises Association Singapore (</t>
    </r>
    <r>
      <rPr>
        <sz val="10"/>
        <rFont val="WenQuanYi Zen Hei"/>
        <family val="2"/>
      </rPr>
      <t xml:space="preserve">新加坡中资企业协会</t>
    </r>
    <r>
      <rPr>
        <sz val="10"/>
        <rFont val="Arial"/>
        <family val="0"/>
        <charset val="1"/>
      </rPr>
      <t xml:space="preserve">), </t>
    </r>
    <r>
      <rPr>
        <sz val="10"/>
        <rFont val="WenQuanYi Zen Hei"/>
        <family val="2"/>
      </rPr>
      <t xml:space="preserve">出海 </t>
    </r>
    <r>
      <rPr>
        <sz val="10"/>
        <rFont val="Arial"/>
        <family val="0"/>
        <charset val="1"/>
      </rPr>
      <t xml:space="preserve">founder WeChat groups, SuperAI Singapore, ATxSG, Singapore FinTech Festival (Nov), TOKEN2049 (Oct)</t>
    </r>
  </si>
  <si>
    <t xml:space="preserve">Campus signal</t>
  </si>
  <si>
    <t xml:space="preserve">Chinese firms recruiting at NUS/NTU in 2026: Huawei, Alibaba, ByteDance, Trip.com, MiniMax — their lateral SG teams are growing too</t>
  </si>
  <si>
    <t xml:space="preserve">CADENCE</t>
  </si>
  <si>
    <t xml:space="preserve">Weekly</t>
  </si>
  <si>
    <t xml:space="preserve">Scan e27 / KrASIA / DealStreetAsia funding news; add any SG AI startup with a fresh round to Master list</t>
  </si>
  <si>
    <t xml:space="preserve">Monthly</t>
  </si>
  <si>
    <t xml:space="preserve">Re-check 'To verify' rows; move Radar → Medium when a SG entity or job post appears</t>
  </si>
  <si>
    <t xml:space="preserve">Quarterly</t>
  </si>
  <si>
    <t xml:space="preserve">ACRA + HK/US IPO filings for new SG subsidiaries of Chinese AI firms</t>
  </si>
  <si>
    <t xml:space="preserve">COMPLIANCE</t>
  </si>
  <si>
    <t xml:space="preserve">Data handling</t>
  </si>
  <si>
    <t xml:space="preserve">This list contains company-level information only. Collect individual contact details yourself via compliant channels (Sales Navigator, referrals, events) and respect PDPA.</t>
  </si>
  <si>
    <t xml:space="preserve">Singapore Headhunting BD Target List — Data Engineer &amp; AI Governance</t>
  </si>
  <si>
    <t xml:space="preserve">Compiled from public industry research as of October 2026, for BD prioritization — not scraped from LinkedIn</t>
  </si>
  <si>
    <t xml:space="preserve">1. Market Context (Why Now Is the Window)</t>
  </si>
  <si>
    <t xml:space="preserve">1. MAS (Monetary Authority of Singapore) issued its AI Risk Management Guidelines on 7 Oct 2026, setting supervisory expectations for all regulated financial institutions (banks, insurers, asset managers, capital markets firms), with a roughly 12-month transition period (expected to end around Oct 2027). This means that over the next 12 months, banks and insurers will be setting up and expanding AI-governance-related roles (AI Ethics Officer, System Owner, AI risk validation specialists, etc.) — this is the core BD rationale for the AI Governance direction.</t>
  </si>
  <si>
    <t xml:space="preserve">2. Project MindForge (a MAS-led consortium of 24 banks, insurers and capital markets firms) published its AI Risk Management Toolkit in March 2026 and the Agentic AI governance white paper (SAFR) in July 2026. These 24 institutions likely already have, or are building, internal AI governance teams and are worth checking one by one (the full list is in MAS's official announcement Annex A, which needs further verification).</t>
  </si>
  <si>
    <t xml:space="preserve">3. On the Data Engineer side, Singapore remains Southeast Asia's tech/fintech hub — leading superapps, e-commerce platforms, quant trading firms and crypto exchanges continue to expand their data infrastructure teams. Most are MNCs or scale-ups with shorter decision chains, making them more approachable for agency recruiters.</t>
  </si>
  <si>
    <t xml:space="preserve">2. Suggested BD Approach for Each Direction</t>
  </si>
  <si>
    <t xml:space="preserve">AI Governance direction:</t>
  </si>
  <si>
    <t xml:space="preserve">  - Prioritize the Big Four consulting firms (EY/PwC/KPMG/Deloitte) first — they are themselves expanding their own AI governance consulting teams and are frequent, familiar users of agency recruiters, so conversion is faster; a good "foot in the door" client type.</t>
  </si>
  <si>
    <t xml:space="preserve">  - Banks and insurers are the mid-to-long-term core market, but decision chains are longer and typically run through an HRBP/TA lead rather than the hiring manager directly; open with the "MAS 12-month transition" regulatory deadline to create urgency.</t>
  </si>
  <si>
    <t xml:space="preserve">  - Insurance-sector AI governance build-out generally lags banks by 6-12 months and talent supply is scarcer — position candidates as "banking-background AI governance talent moving into insurance" as a differentiator.</t>
  </si>
  <si>
    <t xml:space="preserve">Data Engineer direction:</t>
  </si>
  <si>
    <t xml:space="preserve">  - Prioritize funding-driven small/mid-size companies first (e.g. Bullet, Paradex, GoodNotes) — small teams, no mature hiring process, fast decisions, willing to pay agency fees.</t>
  </si>
  <si>
    <t xml:space="preserve">  - Large firms (Grab, Sea/Shopee, ByteDance) have strong internal TA teams, making commission negotiation harder; lead with "scarce niche-skill candidates" (e.g. real-time data infrastructure, OLAP, large-scale data lakes) to pursue a standing-search agreement rather than a one-off placement.</t>
  </si>
  <si>
    <t xml:space="preserve">  - Quant trading/crypto firms (Qube, DRW, Coinhako) pay well, have strict hiring bars and small candidate pools — well suited to leading with your precision passive-candidate sourcing advantage.</t>
  </si>
  <si>
    <t xml:space="preserve">3. Why Your Chinese Background Is a Differentiator (Core Pitch)</t>
  </si>
  <si>
    <t xml:space="preserve">Research surfaced a key fact: Chinese companies expanding into Singapore commonly report "zero understanding of the overseas talent market," "salary budgets far below actual local market rates," and "language/communication barriers between HQ management and local HR." This is exactly your edge as a Chinese-background recruiter with local Singapore experience — you can bridge both the information gap and the language gap, speaking to HQ leadership in Chinese and to local candidates/compliance requirements in English. Build this pain point directly into your opening pitch to HRDs/HR directors at Chinese-background companies.</t>
  </si>
  <si>
    <t xml:space="preserve">4. Sources and Limitations</t>
  </si>
  <si>
    <t xml:space="preserve">This list was compiled from public web research (MAS website, company career pages, industry media) — no LinkedIn personal data or contact information was scraped or compiled (privacy/platform compliance). Specific HR/TA contacts should be sourced and verified yourself via LinkedIn Sales Navigator, company websites, or your own network. All "BD signals" are a snapshot as of the research date (October 2026) — verify roles are still open before outreach. Entries marked "To verify" indicate that public research could not confirm specific details of the Singapore entity or team size — confirm directly before committing BD resources.</t>
  </si>
  <si>
    <t xml:space="preserve">Chinese-Background Companies Target List (Singapore) — Data Engineer &amp; AI Governance</t>
  </si>
  <si>
    <t xml:space="preserve">"To verify" = public research could not confirm Singapore entity/team size details; all other entries are backed by public job postings or industry reporting</t>
  </si>
  <si>
    <t xml:space="preserve">Sub-sector</t>
  </si>
  <si>
    <t xml:space="preserve">Role Focus</t>
  </si>
  <si>
    <t xml:space="preserve">Quant Funds / Hedge Funds</t>
  </si>
  <si>
    <r>
      <rPr>
        <sz val="10"/>
        <rFont val="Arial"/>
        <family val="0"/>
        <charset val="1"/>
      </rPr>
      <t xml:space="preserve">High-Flyer Quant (</t>
    </r>
    <r>
      <rPr>
        <sz val="10"/>
        <rFont val="WenQuanYi Zen Hei"/>
        <family val="2"/>
      </rPr>
      <t xml:space="preserve">幻方量化</t>
    </r>
    <r>
      <rPr>
        <sz val="10"/>
        <rFont val="Arial"/>
        <family val="0"/>
        <charset val="1"/>
      </rPr>
      <t xml:space="preserve">, DeepSeek's parent)</t>
    </r>
  </si>
  <si>
    <t xml:space="preserve">Quant fund / AI</t>
  </si>
  <si>
    <t xml:space="preserve">Data Engineer, quant research infrastructure</t>
  </si>
  <si>
    <t xml:space="preserve">High (pending confirmation)</t>
  </si>
  <si>
    <r>
      <rPr>
        <sz val="10"/>
        <rFont val="Arial"/>
        <family val="0"/>
        <charset val="1"/>
      </rPr>
      <t xml:space="preserve">Ubiquant (</t>
    </r>
    <r>
      <rPr>
        <sz val="10"/>
        <rFont val="WenQuanYi Zen Hei"/>
        <family val="2"/>
      </rPr>
      <t xml:space="preserve">九坤投资</t>
    </r>
    <r>
      <rPr>
        <sz val="10"/>
        <rFont val="Arial"/>
        <family val="0"/>
        <charset val="1"/>
      </rPr>
      <t xml:space="preserve">)</t>
    </r>
  </si>
  <si>
    <t xml:space="preserve">Quant fund</t>
  </si>
  <si>
    <t xml:space="preserve">Medium (pending confirmation)</t>
  </si>
  <si>
    <r>
      <rPr>
        <sz val="10"/>
        <rFont val="Arial"/>
        <family val="0"/>
        <charset val="1"/>
      </rPr>
      <t xml:space="preserve">Minghong Investment (</t>
    </r>
    <r>
      <rPr>
        <sz val="10"/>
        <rFont val="WenQuanYi Zen Hei"/>
        <family val="2"/>
      </rPr>
      <t xml:space="preserve">明汯投资</t>
    </r>
    <r>
      <rPr>
        <sz val="10"/>
        <rFont val="Arial"/>
        <family val="0"/>
        <charset val="1"/>
      </rPr>
      <t xml:space="preserve">)</t>
    </r>
  </si>
  <si>
    <t xml:space="preserve">Data Engineer, quant infrastructure</t>
  </si>
  <si>
    <t xml:space="preserve">Medium (to verify)</t>
  </si>
  <si>
    <t xml:space="preserve">(Radar / long-tail) Post-2022 mainland quant funds expanding abroad</t>
  </si>
  <si>
    <t xml:space="preserve">Long-tail, growing in number</t>
  </si>
  <si>
    <t xml:space="preserve">Regulatory tightening keeps driving new mainland quant funds (RMB 10bn+ AUM) to set up HK/Singapore teams — an emerging client pool worth scanning regularly</t>
  </si>
  <si>
    <t xml:space="preserve">Scan quarterly using keywords like "quant fund Singapore hiring" / "[fund name] Singapore office"</t>
  </si>
  <si>
    <t xml:space="preserve">Strategic / ongoing monitoring</t>
  </si>
  <si>
    <t xml:space="preserve">Industry trend synthesis</t>
  </si>
  <si>
    <t xml:space="preserve">Banks</t>
  </si>
  <si>
    <t xml:space="preserve">State-owned bank</t>
  </si>
  <si>
    <t xml:space="preserve">Data Engineer + AI Governance (data governance)</t>
  </si>
  <si>
    <t xml:space="preserve">Data Engineer + AI Governance</t>
  </si>
  <si>
    <t xml:space="preserve">Joint-stock bank</t>
  </si>
  <si>
    <t xml:space="preserve">Brokerages / Asset Management</t>
  </si>
  <si>
    <t xml:space="preserve">Brokerage</t>
  </si>
  <si>
    <t xml:space="preserve">Data Engineer (middle/back office)</t>
  </si>
  <si>
    <t xml:space="preserve">Data Engineer + risk/compliance</t>
  </si>
  <si>
    <t xml:space="preserve">Data Engineer + AI</t>
  </si>
  <si>
    <t xml:space="preserve">Low-Medium (to verify)</t>
  </si>
  <si>
    <t xml:space="preserve">Tech Giants (Regional HQ)</t>
  </si>
  <si>
    <t xml:space="preserve">Content tech</t>
  </si>
  <si>
    <t xml:space="preserve">Data Engineer + AI Governance (facing heavy global compliance scrutiny)</t>
  </si>
  <si>
    <t xml:space="preserve">Alibaba Group (Alibaba Cloud / Ant International / Lazada) Singapore</t>
  </si>
  <si>
    <t xml:space="preserve">Cloud / fintech / e-commerce</t>
  </si>
  <si>
    <t xml:space="preserve">Internet / gaming</t>
  </si>
  <si>
    <t xml:space="preserve">Consumer electronics / internet</t>
  </si>
  <si>
    <t xml:space="preserve">Cross-border fast-fashion e-commerce</t>
  </si>
  <si>
    <t xml:space="preserve">Online travel (OTA)</t>
  </si>
  <si>
    <t xml:space="preserve">Meituan Keeta / Pinduoduo Temu Singapore-SEA teams</t>
  </si>
  <si>
    <t xml:space="preserve">Food delivery / cross-border e-commerce</t>
  </si>
  <si>
    <t xml:space="preserve">Emerging overseas business lines, scale to verify</t>
  </si>
  <si>
    <t xml:space="preserve">Meituan's Keeta and Pinduoduo's Temu overseas arms are both in an explosive SEA expansion phase</t>
  </si>
  <si>
    <t xml:space="preserve">New business lines in expansion mode have sudden spikes in hiring need; confirm actual Singapore team size directly</t>
  </si>
  <si>
    <t xml:space="preserve">Gaming (Genshin Impact, etc.)</t>
  </si>
  <si>
    <t xml:space="preserve">Data Engineer / Analyst</t>
  </si>
  <si>
    <t xml:space="preserve">Gaming (mobile)</t>
  </si>
  <si>
    <t xml:space="preserve">Crypto exchange</t>
  </si>
  <si>
    <t xml:space="preserve">Data Engineer (incl. On-chain Data Analyst)</t>
  </si>
  <si>
    <t xml:space="preserve">Data Engineer (Data Operations Engineer, etc.)</t>
  </si>
  <si>
    <t xml:space="preserve">Digital asset fintech</t>
  </si>
  <si>
    <t xml:space="preserve">Crypto fintech</t>
  </si>
  <si>
    <t xml:space="preserve">AI Foundation Model Companies Going Abroad</t>
  </si>
  <si>
    <t xml:space="preserve">Foundation models / AIGC applications</t>
  </si>
  <si>
    <t xml:space="preserve">AI Governance (overseas compliance) + Data Engineer</t>
  </si>
  <si>
    <t xml:space="preserve">Unicorn, HK IPO in early 2026</t>
  </si>
  <si>
    <t xml:space="preserve">Singapore and the US are tied as its two largest overseas revenue markets, implying it likely already has a local commercialization/operations team — but its Singapore legal entity and team size are unconfirmed</t>
  </si>
  <si>
    <t xml:space="preserve">If a Singapore team is confirmed, this would be a prime early-stage client (outbound AI firms have hard compliance + data talent needs) — verify as a priority</t>
  </si>
  <si>
    <t xml:space="preserve">Medium (to verify; upgrade to High once confirmed)</t>
  </si>
  <si>
    <t xml:space="preserve">Rest of World / IPO prospectus disclosures synthesis</t>
  </si>
  <si>
    <t xml:space="preserve">Zhipu AI / Moonshot AI and other "AI Tigers"</t>
  </si>
  <si>
    <t xml:space="preserve">Foundation models</t>
  </si>
  <si>
    <t xml:space="preserve">AI Governance + Data Engineer</t>
  </si>
  <si>
    <t xml:space="preserve">Unicorn tier, early-stage overseas expansion</t>
  </si>
  <si>
    <t xml:space="preserve">Generally pursuing internationalization via sovereign-AI partnerships; Singapore may be an internationalization node for some, but there is no solid evidence yet of an actual Singapore team</t>
  </si>
  <si>
    <t xml:space="preserve">List as a radar-watch target; scan periodically with company name + "Singapore office"</t>
  </si>
  <si>
    <t xml:space="preserve">KrAsia / industry reporting synthesis</t>
  </si>
  <si>
    <t xml:space="preserve">Outbound Startups / Cross-Border E-commerce / Consumer Brands</t>
  </si>
  <si>
    <r>
      <rPr>
        <sz val="10"/>
        <rFont val="Arial"/>
        <family val="0"/>
        <charset val="1"/>
      </rPr>
      <t xml:space="preserve">Shoplazza (</t>
    </r>
    <r>
      <rPr>
        <sz val="10"/>
        <rFont val="WenQuanYi Zen Hei"/>
        <family val="2"/>
      </rPr>
      <t xml:space="preserve">店匠科技</t>
    </r>
    <r>
      <rPr>
        <sz val="10"/>
        <rFont val="Arial"/>
        <family val="0"/>
        <charset val="1"/>
      </rPr>
      <t xml:space="preserve">)</t>
    </r>
  </si>
  <si>
    <t xml:space="preserve">Independent-site (DTC) SaaS</t>
  </si>
  <si>
    <r>
      <rPr>
        <sz val="10"/>
        <rFont val="Arial"/>
        <family val="0"/>
        <charset val="1"/>
      </rPr>
      <t xml:space="preserve">PingPong (</t>
    </r>
    <r>
      <rPr>
        <sz val="10"/>
        <rFont val="WenQuanYi Zen Hei"/>
        <family val="2"/>
      </rPr>
      <t xml:space="preserve">连连数字</t>
    </r>
    <r>
      <rPr>
        <sz val="10"/>
        <rFont val="Arial"/>
        <family val="0"/>
        <charset val="1"/>
      </rPr>
      <t xml:space="preserve">)</t>
    </r>
  </si>
  <si>
    <t xml:space="preserve">Cross-border payments</t>
  </si>
  <si>
    <t xml:space="preserve">Data Engineer + AI Governance (payments compliance)</t>
  </si>
  <si>
    <t xml:space="preserve">Cross-border trade finance management</t>
  </si>
  <si>
    <t xml:space="preserve">Cross-border payments / fintech</t>
  </si>
  <si>
    <t xml:space="preserve">Cross-border e-commerce</t>
  </si>
  <si>
    <t xml:space="preserve">Medium (strategic)</t>
  </si>
  <si>
    <t xml:space="preserve">AI Governance Direction — Target Company List (Singapore, Supplementary / Non-Chinese-Background)</t>
  </si>
  <si>
    <t xml:space="preserve">Industry</t>
  </si>
  <si>
    <t xml:space="preserve">AI Governance (compliance) + AI Risk (technical)</t>
  </si>
  <si>
    <t xml:space="preserve">AI Governance (Line 2 risk / technical)</t>
  </si>
  <si>
    <t xml:space="preserve">AI Governance (data-governance leaning)</t>
  </si>
  <si>
    <t xml:space="preserve">AI/ML emerging risk (senior)</t>
  </si>
  <si>
    <t xml:space="preserve">AI-related roles (ongoing hiring)</t>
  </si>
  <si>
    <t xml:space="preserve">AI Governance (compliance, full lifecycle)</t>
  </si>
  <si>
    <t xml:space="preserve">AI Governance (anticipatory positioning)</t>
  </si>
  <si>
    <t xml:space="preserve">Great Eastern / Income Insurance</t>
  </si>
  <si>
    <t xml:space="preserve">Same as above — expected to follow suit within 1-2 years under MAS regulatory pressure</t>
  </si>
  <si>
    <t xml:space="preserve">Same as above — early positioning plus regular follow-up</t>
  </si>
  <si>
    <t xml:space="preserve">AI Governance Risk Consulting</t>
  </si>
  <si>
    <t xml:space="preserve">AI Governance / regulated industries</t>
  </si>
  <si>
    <t xml:space="preserve">Responsible AI</t>
  </si>
  <si>
    <t xml:space="preserve">AI Governance / GenAI</t>
  </si>
  <si>
    <t xml:space="preserve">Remaining Project MindForge consortium members (24 banks/insurers/capital markets firms)</t>
  </si>
  <si>
    <t xml:space="preserve">Multi-sector finance</t>
  </si>
  <si>
    <t xml:space="preserve">AI Governance (all types)</t>
  </si>
  <si>
    <t xml:space="preserve">MAS's official announcement Annex A lists the full 24 participating institutions (this research could not retrieve the complete list); these institutions likely already have, or are building, AI governance teams</t>
  </si>
  <si>
    <t xml:space="preserve">Obtain the official MAS press release Annex A to confirm the full list, and screen the institutions not yet covered one by one</t>
  </si>
  <si>
    <t xml:space="preserve">Follow-up</t>
  </si>
  <si>
    <t xml:space="preserve">MAS 2026-03 press release (Annex A needs further verification)</t>
  </si>
  <si>
    <t xml:space="preserve">Data Engineer Direction — Target Company List (Singapore, Supplementary / Non-Chinese-Background)</t>
  </si>
  <si>
    <t xml:space="preserve">Ride-hailing / fintech super-app</t>
  </si>
  <si>
    <t xml:space="preserve">Data Engineer (multiple levels, platform/infrastructure)</t>
  </si>
  <si>
    <t xml:space="preserve">Sea Group / Shopee</t>
  </si>
  <si>
    <t xml:space="preserve">E-commerce</t>
  </si>
  <si>
    <t xml:space="preserve">Data Engineer + AI infrastructure</t>
  </si>
  <si>
    <t xml:space="preserve">New AI Centre of Excellence launched in July 2026; data infrastructure roles (OLAP, etc.) continuously open</t>
  </si>
  <si>
    <t xml:space="preserve">New CoE launches typically bring sudden team-building needs — a BD entry window</t>
  </si>
  <si>
    <t xml:space="preserve">Industry reporting, hiredeveloper.sg</t>
  </si>
  <si>
    <t xml:space="preserve">ByteDance / TikTok (Singapore)</t>
  </si>
  <si>
    <t xml:space="preserve">Data Engineer (big data / data lake)</t>
  </si>
  <si>
    <t xml:space="preserve">Multiple Singapore roles open: Big Data Engineer (Libra), Data Ingestion Engineer, Data Lake-related roles</t>
  </si>
  <si>
    <t xml:space="preserve">Fast-moving, high-volume hiring at this MNC — good fit for a standing-search agreement</t>
  </si>
  <si>
    <t xml:space="preserve">Glassdoor ByteDance careers page</t>
  </si>
  <si>
    <t xml:space="preserve">Gaming / fintech</t>
  </si>
  <si>
    <t xml:space="preserve">SaaS / productivity software</t>
  </si>
  <si>
    <t xml:space="preserve">Quant trading</t>
  </si>
  <si>
    <t xml:space="preserve">Data Engineer (quant infrastructure)</t>
  </si>
  <si>
    <t xml:space="preserve">Senior/Principal Data Engineer, Quant Developer</t>
  </si>
  <si>
    <t xml:space="preserve">Data Engineer (manufacturing data)</t>
  </si>
  <si>
    <t xml:space="preserve">Data Engineer / Analytics</t>
  </si>
</sst>
</file>

<file path=xl/styles.xml><?xml version="1.0" encoding="utf-8"?>
<styleSheet xmlns="http://schemas.openxmlformats.org/spreadsheetml/2006/main">
  <numFmts count="2">
    <numFmt numFmtId="164" formatCode="General"/>
    <numFmt numFmtId="165" formatCode="General"/>
  </numFmts>
  <fonts count="1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sz val="10"/>
      <name val="Arial"/>
      <family val="0"/>
      <charset val="1"/>
    </font>
    <font>
      <b val="true"/>
      <sz val="11"/>
      <color rgb="FFFFFFFF"/>
      <name val="Arial"/>
      <family val="0"/>
      <charset val="1"/>
    </font>
    <font>
      <sz val="10"/>
      <name val="WenQuanYi Zen Hei"/>
      <family val="2"/>
    </font>
    <font>
      <b val="true"/>
      <sz val="10"/>
      <name val="Arial"/>
      <family val="0"/>
      <charset val="1"/>
    </font>
    <font>
      <b val="true"/>
      <sz val="10"/>
      <color rgb="FFC00000"/>
      <name val="Arial"/>
      <family val="0"/>
      <charset val="1"/>
    </font>
    <font>
      <sz val="10"/>
      <color rgb="FFC00000"/>
      <name val="Arial"/>
      <family val="0"/>
      <charset val="1"/>
    </font>
    <font>
      <sz val="10"/>
      <color rgb="FFC00000"/>
      <name val="WenQuanYi Zen Hei"/>
      <family val="2"/>
    </font>
    <font>
      <b val="true"/>
      <sz val="10"/>
      <name val="WenQuanYi Zen Hei"/>
      <family val="2"/>
    </font>
    <font>
      <u val="single"/>
      <sz val="10"/>
      <color rgb="FF0563C1"/>
      <name val="Arial"/>
      <family val="0"/>
      <charset val="1"/>
    </font>
    <font>
      <b val="true"/>
      <sz val="11"/>
      <color rgb="FFFFFFFF"/>
      <name val="WenQuanYi Zen Hei"/>
      <family val="2"/>
    </font>
    <font>
      <b val="true"/>
      <sz val="16"/>
      <color rgb="FF1F4E78"/>
      <name val="Arial"/>
      <family val="0"/>
      <charset val="1"/>
    </font>
    <font>
      <i val="true"/>
      <sz val="10"/>
      <color rgb="FF555555"/>
      <name val="Arial"/>
      <family val="0"/>
      <charset val="1"/>
    </font>
    <font>
      <b val="true"/>
      <sz val="13"/>
      <color rgb="FF1F4E78"/>
      <name val="Arial"/>
      <family val="0"/>
      <charset val="1"/>
    </font>
  </fonts>
  <fills count="15">
    <fill>
      <patternFill patternType="none"/>
    </fill>
    <fill>
      <patternFill patternType="gray125"/>
    </fill>
    <fill>
      <patternFill patternType="solid">
        <fgColor rgb="FF1F4E78"/>
        <bgColor rgb="FF003366"/>
      </patternFill>
    </fill>
    <fill>
      <patternFill patternType="solid">
        <fgColor rgb="FFE2EFDA"/>
        <bgColor rgb="FFEDEDED"/>
      </patternFill>
    </fill>
    <fill>
      <patternFill patternType="solid">
        <fgColor rgb="FFFFF2CC"/>
        <bgColor rgb="FFFCE4D6"/>
      </patternFill>
    </fill>
    <fill>
      <patternFill patternType="solid">
        <fgColor rgb="FFC6EFCE"/>
        <bgColor rgb="FFD0E0E3"/>
      </patternFill>
    </fill>
    <fill>
      <patternFill patternType="solid">
        <fgColor rgb="FFDDEBF7"/>
        <bgColor rgb="FFEDEDED"/>
      </patternFill>
    </fill>
    <fill>
      <patternFill patternType="solid">
        <fgColor rgb="FFFFEB9C"/>
        <bgColor rgb="FFFFF2CC"/>
      </patternFill>
    </fill>
    <fill>
      <patternFill patternType="solid">
        <fgColor rgb="FFFCE4D6"/>
        <bgColor rgb="FFFFF2CC"/>
      </patternFill>
    </fill>
    <fill>
      <patternFill patternType="solid">
        <fgColor rgb="FFEAD1DC"/>
        <bgColor rgb="FFF4CCCC"/>
      </patternFill>
    </fill>
    <fill>
      <patternFill patternType="solid">
        <fgColor rgb="FFD9D2E9"/>
        <bgColor rgb="FFD9D9D9"/>
      </patternFill>
    </fill>
    <fill>
      <patternFill patternType="solid">
        <fgColor rgb="FFD0E0E3"/>
        <bgColor rgb="FFD9D9D9"/>
      </patternFill>
    </fill>
    <fill>
      <patternFill patternType="solid">
        <fgColor rgb="FFF4CCCC"/>
        <bgColor rgb="FFFFC7CE"/>
      </patternFill>
    </fill>
    <fill>
      <patternFill patternType="solid">
        <fgColor rgb="FFD9D9D9"/>
        <bgColor rgb="FFD9D2E9"/>
      </patternFill>
    </fill>
    <fill>
      <patternFill patternType="solid">
        <fgColor rgb="FFFFC7CE"/>
        <bgColor rgb="FFF4CC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center" vertical="top" textRotation="0" wrapText="true" indent="0" shrinkToFit="false"/>
      <protection locked="true" hidden="false"/>
    </xf>
    <xf numFmtId="164" fontId="9" fillId="3" borderId="2"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9" fillId="5" borderId="2" xfId="0" applyFont="true" applyBorder="true" applyAlignment="true" applyProtection="false">
      <alignment horizontal="general" vertical="top" textRotation="0" wrapText="true" indent="0" shrinkToFit="false"/>
      <protection locked="true" hidden="false"/>
    </xf>
    <xf numFmtId="164" fontId="9" fillId="6" borderId="2" xfId="0" applyFont="true" applyBorder="true" applyAlignment="true" applyProtection="false">
      <alignment horizontal="general" vertical="top" textRotation="0" wrapText="true" indent="0" shrinkToFit="false"/>
      <protection locked="true" hidden="false"/>
    </xf>
    <xf numFmtId="164" fontId="9" fillId="7" borderId="2" xfId="0" applyFont="true" applyBorder="true" applyAlignment="true" applyProtection="false">
      <alignment horizontal="general" vertical="top" textRotation="0" wrapText="tru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xf numFmtId="164" fontId="9" fillId="8" borderId="2" xfId="0" applyFont="true" applyBorder="true" applyAlignment="true" applyProtection="false">
      <alignment horizontal="general" vertical="top" textRotation="0" wrapText="true" indent="0" shrinkToFit="false"/>
      <protection locked="true" hidden="false"/>
    </xf>
    <xf numFmtId="164" fontId="9" fillId="9" borderId="2" xfId="0" applyFont="true" applyBorder="true" applyAlignment="true" applyProtection="false">
      <alignment horizontal="general" vertical="top" textRotation="0" wrapText="true" indent="0" shrinkToFit="false"/>
      <protection locked="true" hidden="false"/>
    </xf>
    <xf numFmtId="164" fontId="9" fillId="10" borderId="2" xfId="0" applyFont="true" applyBorder="true" applyAlignment="true" applyProtection="false">
      <alignment horizontal="general" vertical="top" textRotation="0" wrapText="true" indent="0" shrinkToFit="false"/>
      <protection locked="true" hidden="false"/>
    </xf>
    <xf numFmtId="164" fontId="9" fillId="11" borderId="2" xfId="0" applyFont="true" applyBorder="true" applyAlignment="true" applyProtection="false">
      <alignment horizontal="general" vertical="top" textRotation="0" wrapText="true" indent="0" shrinkToFit="false"/>
      <protection locked="true" hidden="false"/>
    </xf>
    <xf numFmtId="164" fontId="9" fillId="12" borderId="2" xfId="0" applyFont="true" applyBorder="true" applyAlignment="true" applyProtection="false">
      <alignment horizontal="general" vertical="top" textRotation="0" wrapText="true" indent="0" shrinkToFit="false"/>
      <protection locked="true" hidden="false"/>
    </xf>
    <xf numFmtId="164" fontId="9" fillId="13" borderId="2" xfId="0" applyFont="true" applyBorder="true" applyAlignment="true" applyProtection="false">
      <alignment horizontal="general" vertical="top" textRotation="0" wrapText="true" indent="0" shrinkToFit="false"/>
      <protection locked="true" hidden="false"/>
    </xf>
    <xf numFmtId="164" fontId="9" fillId="14"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C6EFCE"/>
          <bgColor rgb="FF000000"/>
        </patternFill>
      </fill>
    </dxf>
    <dxf>
      <fill>
        <patternFill patternType="solid">
          <fgColor rgb="FFEDEDED"/>
          <bgColor rgb="FF000000"/>
        </patternFill>
      </fill>
    </dxf>
    <dxf>
      <fill>
        <patternFill patternType="solid">
          <fgColor rgb="FF9C5700"/>
          <bgColor rgb="FF000000"/>
        </patternFill>
      </fill>
    </dxf>
    <dxf>
      <fill>
        <patternFill patternType="solid">
          <fgColor rgb="FFC00000"/>
          <bgColor rgb="FF000000"/>
        </patternFill>
      </fill>
    </dxf>
    <dxf>
      <fill>
        <patternFill patternType="solid">
          <fgColor rgb="FFFFF2CC"/>
          <bgColor rgb="FF000000"/>
        </patternFill>
      </fill>
    </dxf>
    <dxf>
      <fill>
        <patternFill>
          <bgColor rgb="FFC6EFCE"/>
        </patternFill>
      </fill>
    </dxf>
    <dxf>
      <fill>
        <patternFill>
          <bgColor rgb="FFE2EFDA"/>
        </patternFill>
      </fill>
    </dxf>
    <dxf>
      <fill>
        <patternFill>
          <bgColor rgb="FFEDEDED"/>
        </patternFill>
      </fill>
    </dxf>
    <dxf>
      <font>
        <name val="Arial"/>
        <charset val="1"/>
        <family val="0"/>
        <b val="1"/>
        <color rgb="FF9C5700"/>
      </font>
    </dxf>
    <dxf>
      <fill>
        <patternFill patternType="solid">
          <fgColor rgb="FF0563C1"/>
          <bgColor rgb="FF000000"/>
        </patternFill>
      </fill>
    </dxf>
    <dxf>
      <fill>
        <patternFill patternType="solid">
          <fgColor rgb="FFD0E0E3"/>
          <bgColor rgb="FF000000"/>
        </patternFill>
      </fill>
    </dxf>
    <dxf>
      <fill>
        <patternFill patternType="solid">
          <fgColor rgb="FFD9D2E9"/>
          <bgColor rgb="FF000000"/>
        </patternFill>
      </fill>
    </dxf>
    <dxf>
      <fill>
        <patternFill patternType="solid">
          <fgColor rgb="FFDDEBF7"/>
          <bgColor rgb="FF000000"/>
        </patternFill>
      </fill>
    </dxf>
    <dxf>
      <fill>
        <patternFill patternType="solid">
          <fgColor rgb="FFEAD1DC"/>
          <bgColor rgb="FF000000"/>
        </patternFill>
      </fill>
    </dxf>
    <dxf>
      <fill>
        <patternFill patternType="solid">
          <fgColor rgb="FFF4CCCC"/>
          <bgColor rgb="FF000000"/>
        </patternFill>
      </fill>
    </dxf>
    <dxf>
      <fill>
        <patternFill patternType="solid">
          <fgColor rgb="FFFCE4D6"/>
          <bgColor rgb="FF000000"/>
        </patternFill>
      </fill>
    </dxf>
    <dxf>
      <fill>
        <patternFill patternType="solid">
          <fgColor rgb="FFFFEB9C"/>
          <bgColor rgb="FF000000"/>
        </patternFill>
      </fill>
    </dxf>
    <dxf>
      <fill>
        <patternFill patternType="solid">
          <fgColor rgb="FFD9D9D9"/>
          <bgColor rgb="FF000000"/>
        </patternFill>
      </fill>
    </dxf>
    <dxf>
      <fill>
        <patternFill patternType="solid">
          <fgColor rgb="FFFFC7CE"/>
          <bgColor rgb="FF000000"/>
        </patternFill>
      </fill>
    </dxf>
  </dxfs>
  <colors>
    <indexedColors>
      <rgbColor rgb="FF000000"/>
      <rgbColor rgb="FFFFFFFF"/>
      <rgbColor rgb="FFC00000"/>
      <rgbColor rgb="FF00FF00"/>
      <rgbColor rgb="FF0000FF"/>
      <rgbColor rgb="FFEDEDED"/>
      <rgbColor rgb="FFFF00FF"/>
      <rgbColor rgb="FF00FFFF"/>
      <rgbColor rgb="FF800000"/>
      <rgbColor rgb="FF008000"/>
      <rgbColor rgb="FF000080"/>
      <rgbColor rgb="FF808000"/>
      <rgbColor rgb="FF800080"/>
      <rgbColor rgb="FF008080"/>
      <rgbColor rgb="FFBFBFBF"/>
      <rgbColor rgb="FF808080"/>
      <rgbColor rgb="FFD9D9D9"/>
      <rgbColor rgb="FF993366"/>
      <rgbColor rgb="FFFFF2CC"/>
      <rgbColor rgb="FFDDEBF7"/>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E2EFDA"/>
      <rgbColor rgb="FFC6EFCE"/>
      <rgbColor rgb="FFFFEB9C"/>
      <rgbColor rgb="FFD0E0E3"/>
      <rgbColor rgb="FFFFC7CE"/>
      <rgbColor rgb="FFEAD1DC"/>
      <rgbColor rgb="FFF4CCCC"/>
      <rgbColor rgb="FF3366FF"/>
      <rgbColor rgb="FF33CCCC"/>
      <rgbColor rgb="FF99CC00"/>
      <rgbColor rgb="FFFCE4D6"/>
      <rgbColor rgb="FFFF9900"/>
      <rgbColor rgb="FFFF6600"/>
      <rgbColor rgb="FF555555"/>
      <rgbColor rgb="FF969696"/>
      <rgbColor rgb="FF003366"/>
      <rgbColor rgb="FF339966"/>
      <rgbColor rgb="FF003300"/>
      <rgbColor rgb="FF333300"/>
      <rgbColor rgb="FF9C57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www.linkedin.com/search/results/people/?keywords=%22Plaud%22%20AND%20%28%22head%20of%20data%22%20OR%20%22data%20engineering%20manager%22%20OR%20%22director%20of%20data%22%29&amp;geoUrn=%5B%22102454443%22%5D" TargetMode="External"/><Relationship Id="rId2" Type="http://schemas.openxmlformats.org/officeDocument/2006/relationships/hyperlink" Target="https://www.linkedin.com/search/results/people/?keywords=%22MiroMind%22%20AND%20%28CISO%20OR%20%22head%20of%20security%22%20OR%20%22security%20engineering%22%29&amp;geoUrn=%5B%22102454443%22%5D" TargetMode="External"/><Relationship Id="rId3" Type="http://schemas.openxmlformats.org/officeDocument/2006/relationships/hyperlink" Target="https://www.linkedin.com/search/results/people/?keywords=%22Ropedia%22%20AND%20%28%22head%20of%20data%22%20OR%20%22data%20engineering%20manager%22%20OR%20%22director%20of%20data%22%29&amp;geoUrn=%5B%22102454443%22%5D" TargetMode="External"/><Relationship Id="rId4" Type="http://schemas.openxmlformats.org/officeDocument/2006/relationships/hyperlink" Target="https://www.linkedin.com/search/results/people/?keywords=%22OneByZero%22%20AND%20%28%22head%20of%20data%22%20OR%20%22data%20engineering%20manager%22%20OR%20%22director%20of%20data%22%29&amp;geoUrn=%5B%22102454443%22%5D" TargetMode="External"/><Relationship Id="rId5" Type="http://schemas.openxmlformats.org/officeDocument/2006/relationships/hyperlink" Target="https://www.linkedin.com/search/results/people/?keywords=%22MiniMax%22%20AND%20%28%22head%20of%20data%22%20OR%20%22data%20engineering%20manager%22%20OR%20%22director%20of%20data%22%29&amp;geoUrn=%5B%22102454443%22%5D" TargetMode="External"/><Relationship Id="rId6" Type="http://schemas.openxmlformats.org/officeDocument/2006/relationships/hyperlink" Target="https://www.linkedin.com/search/results/people/?keywords=%22ByteDance%20Seed%22%20AND%20%28%22head%20of%20data%22%20OR%20%22data%20engineering%20manager%22%20OR%20%22director%20of%20data%22%29&amp;geoUrn=%5B%22102454443%22%5D" TargetMode="External"/><Relationship Id="rId7" Type="http://schemas.openxmlformats.org/officeDocument/2006/relationships/hyperlink" Target="https://www.linkedin.com/search/results/people/?keywords=%28%22ByteDance%22%20OR%20%22TikTok%22%29%20AND%20%28%22head%20of%20data%22%20OR%20%22data%20engineering%20manager%22%20OR%20%22director%20of%20data%22%29&amp;geoUrn=%5B%22102454443%22%5D" TargetMode="External"/><Relationship Id="rId8" Type="http://schemas.openxmlformats.org/officeDocument/2006/relationships/hyperlink" Target="https://www.linkedin.com/search/results/people/?keywords=%28%22Alibaba%20Group%22%20OR%20%22Alibaba%20Cloud%20International%22%29%20AND%20%28%22head%20of%20data%22%20OR%20%22data%20engineering%20manager%22%20OR%20%22director%20of%20data%22%29&amp;geoUrn=%5B%2" TargetMode="External"/><Relationship Id="rId9" Type="http://schemas.openxmlformats.org/officeDocument/2006/relationships/hyperlink" Target="https://www.linkedin.com/search/results/people/?keywords=%22Tencent%22%20AND%20%28%22head%20of%20data%22%20OR%20%22data%20engineering%20manager%22%20OR%20%22director%20of%20data%22%29&amp;geoUrn=%5B%22102454443%22%5D" TargetMode="External"/><Relationship Id="rId10" Type="http://schemas.openxmlformats.org/officeDocument/2006/relationships/hyperlink" Target="https://www.linkedin.com/search/results/people/?keywords=%22Xiaomi%22%20AND%20%28%22head%20of%20data%22%20OR%20%22data%20engineering%20manager%22%20OR%20%22director%20of%20data%22%29&amp;geoUrn=%5B%22102454443%22%5D" TargetMode="External"/><Relationship Id="rId11" Type="http://schemas.openxmlformats.org/officeDocument/2006/relationships/hyperlink" Target="https://www.linkedin.com/search/results/people/?keywords=%22SHEIN%22%20AND%20%28%22head%20of%20data%22%20OR%20%22data%20engineering%20manager%22%20OR%20%22director%20of%20data%22%29&amp;geoUrn=%5B%22102454443%22%5D" TargetMode="External"/><Relationship Id="rId12" Type="http://schemas.openxmlformats.org/officeDocument/2006/relationships/hyperlink" Target="https://www.linkedin.com/search/results/people/?keywords=%22Grab%22%20AND%20%28%22head%20of%20data%22%20OR%20%22data%20engineering%20manager%22%20OR%20%22director%20of%20data%22%29&amp;geoUrn=%5B%22102454443%22%5D" TargetMode="External"/><Relationship Id="rId13" Type="http://schemas.openxmlformats.org/officeDocument/2006/relationships/hyperlink" Target="https://www.linkedin.com/search/results/people/?keywords=%22Ant%20International%22%20AND%20%28%22head%20of%20data%22%20OR%20%22data%20engineering%20manager%22%20OR%20%22director%20of%20data%22%29&amp;geoUrn=%5B%22102454443%22%5D" TargetMode="External"/><Relationship Id="rId14" Type="http://schemas.openxmlformats.org/officeDocument/2006/relationships/hyperlink" Target="https://www.linkedin.com/search/results/people/?keywords=%28%22Sea%22%20OR%20%22Shopee%22%20OR%20%22Garena%22%20OR%20%22MariBank%22%29%20AND%20%28%22head%20of%20data%22%20OR%20%22data%20engineering%20manager%22%20OR%20%22director%20of%20data%22%29&amp;geoUrn=" TargetMode="External"/><Relationship Id="rId15" Type="http://schemas.openxmlformats.org/officeDocument/2006/relationships/hyperlink" Target="https://www.linkedin.com/search/results/people/?keywords=%28%22ADVANCE.AI%22%20OR%20%22Atome%22%29%20AND%20%28%22head%20of%20data%22%20OR%20%22data%20engineering%20manager%22%20OR%20%22director%20of%20data%22%29&amp;geoUrn=%5B%22102454443%22%5D" TargetMode="External"/><Relationship Id="rId16" Type="http://schemas.openxmlformats.org/officeDocument/2006/relationships/hyperlink" Target="https://www.linkedin.com/search/results/people/?keywords=%22Moomoo%22%20AND%20%28%22head%20of%20data%22%20OR%20%22data%20engineering%20manager%22%20OR%20%22director%20of%20data%22%29&amp;geoUrn=%5B%22102454443%22%5D" TargetMode="External"/><Relationship Id="rId17" Type="http://schemas.openxmlformats.org/officeDocument/2006/relationships/hyperlink" Target="https://www.linkedin.com/search/results/people/?keywords=%22Tiger%20Brokers%22%20AND%20%28%22head%20of%20data%22%20OR%20%22data%20engineering%20manager%22%20OR%20%22director%20of%20data%22%29&amp;geoUrn=%5B%22102454443%22%5D" TargetMode="External"/><Relationship Id="rId18" Type="http://schemas.openxmlformats.org/officeDocument/2006/relationships/hyperlink" Target="https://www.linkedin.com/search/results/people/?keywords=%22Bullet%22%20AND%20%28%22head%20of%20data%22%20OR%20%22data%20engineering%20manager%22%20OR%20%22director%20of%20data%22%29&amp;geoUrn=%5B%22102454443%22%5D" TargetMode="External"/><Relationship Id="rId19" Type="http://schemas.openxmlformats.org/officeDocument/2006/relationships/hyperlink" Target="https://www.linkedin.com/search/results/people/?keywords=%22HoYoverse%22%20AND%20%28%22head%20of%20data%22%20OR%20%22data%20engineering%20manager%22%20OR%20%22director%20of%20data%22%29&amp;geoUrn=%5B%22102454443%22%5D" TargetMode="External"/><Relationship Id="rId20" Type="http://schemas.openxmlformats.org/officeDocument/2006/relationships/hyperlink" Target="https://www.linkedin.com/search/results/people/?keywords=%22Huatai%20Securities%22%20AND%20%28%22head%20of%20data%22%20OR%20%22data%20engineering%20manager%22%20OR%20%22director%20of%20data%22%29&amp;geoUrn=%5B%22102454443%22%5D" TargetMode="External"/><Relationship Id="rId21" Type="http://schemas.openxmlformats.org/officeDocument/2006/relationships/hyperlink" Target="https://www.linkedin.com/search/results/people/?keywords=%22High-Flyer%20Quant%22%20AND%20%28%22head%20of%20data%22%20OR%20%22data%20engineering%20manager%22%20OR%20%22director%20of%20data%22%29&amp;geoUrn=%5B%22102454443%22%5D" TargetMode="External"/><Relationship Id="rId22" Type="http://schemas.openxmlformats.org/officeDocument/2006/relationships/hyperlink" Target="https://www.linkedin.com/search/results/people/?keywords=%22MS%20Capital%22%20AND%20%28%22head%20of%20data%22%20OR%20%22data%20engineering%20manager%22%20OR%20%22director%20of%20data%22%29&amp;geoUrn=%5B%22102454443%22%5D" TargetMode="External"/><Relationship Id="rId23" Type="http://schemas.openxmlformats.org/officeDocument/2006/relationships/hyperlink" Target="https://www.linkedin.com/search/results/people/?keywords=%22Qube%20Research%20%26%20Technologies%22%20AND%20%28%22head%20of%20data%22%20OR%20%22data%20engineering%20manager%22%20OR%20%22director%20of%20data%22%29&amp;geoUrn=%5B%22102454443%22%5D" TargetMode="External"/><Relationship Id="rId24" Type="http://schemas.openxmlformats.org/officeDocument/2006/relationships/hyperlink" Target="https://www.linkedin.com/search/results/people/?keywords=%22Lingjun%20Investment%22%20AND%20%28%22head%20of%20data%22%20OR%20%22data%20engineering%20manager%22%20OR%20%22director%20of%20data%22%29&amp;geoUrn=%5B%22102454443%22%5D" TargetMode="External"/><Relationship Id="rId25" Type="http://schemas.openxmlformats.org/officeDocument/2006/relationships/hyperlink" Target="https://www.linkedin.com/search/results/people/?keywords=%22EY%22%20AND%20%28%22AI%20governance%22%20OR%20%22responsible%20AI%22%20OR%20%22data%20governance%22%29&amp;geoUrn=%5B%22102454443%22%5D" TargetMode="External"/><Relationship Id="rId26" Type="http://schemas.openxmlformats.org/officeDocument/2006/relationships/hyperlink" Target="https://www.linkedin.com/search/results/people/?keywords=%22PwC%22%20AND%20%28%22AI%20governance%22%20OR%20%22responsible%20AI%22%20OR%20%22data%20governance%22%29&amp;geoUrn=%5B%22102454443%22%5D" TargetMode="External"/><Relationship Id="rId27" Type="http://schemas.openxmlformats.org/officeDocument/2006/relationships/hyperlink" Target="https://www.linkedin.com/search/results/people/?keywords=%22DBS%20Bank%22%20AND%20%28%22AI%20governance%22%20OR%20%22responsible%20AI%22%20OR%20%22data%20governance%22%29&amp;geoUrn=%5B%22102454443%22%5D" TargetMode="External"/><Relationship Id="rId28" Type="http://schemas.openxmlformats.org/officeDocument/2006/relationships/hyperlink" Target="https://www.linkedin.com/search/results/people/?keywords=%22UOB%22%20AND%20%28%22AI%20governance%22%20OR%20%22responsible%20AI%22%20OR%20%22data%20governance%22%29&amp;geoUrn=%5B%22102454443%22%5D" TargetMode="External"/><Relationship Id="rId29" Type="http://schemas.openxmlformats.org/officeDocument/2006/relationships/hyperlink" Target="https://www.linkedin.com/search/results/people/?keywords=%22Prudential%22%20AND%20%28%22AI%20governance%22%20OR%20%22responsible%20AI%22%20OR%20%22data%20governance%22%29&amp;geoUrn=%5B%22102454443%22%5D" TargetMode="External"/><Relationship Id="rId30" Type="http://schemas.openxmlformats.org/officeDocument/2006/relationships/hyperlink" Target="https://www.linkedin.com/search/results/people/?keywords=%22Manus%22%20AND%20%28CISO%20OR%20%22head%20of%20security%22%20OR%20%22security%20engineering%22%29&amp;geoUrn=%5B%22102454443%22%5D" TargetMode="External"/><Relationship Id="rId31" Type="http://schemas.openxmlformats.org/officeDocument/2006/relationships/hyperlink" Target="https://www.linkedin.com/search/results/people/?keywords=%22Genspark%22%20AND%20%28%22head%20of%20data%22%20OR%20%22data%20engineering%20manager%22%20OR%20%22director%20of%20data%22%29&amp;geoUrn=%5B%22102454443%22%5D" TargetMode="External"/><Relationship Id="rId32" Type="http://schemas.openxmlformats.org/officeDocument/2006/relationships/hyperlink" Target="https://www.linkedin.com/search/results/people/?keywords=%22Simular%22%20AND%20%28CISO%20OR%20%22head%20of%20security%22%20OR%20%22security%20engineering%22%29&amp;geoUrn=%5B%22102454443%22%5D" TargetMode="External"/><Relationship Id="rId33" Type="http://schemas.openxmlformats.org/officeDocument/2006/relationships/hyperlink" Target="https://www.linkedin.com/search/results/people/?keywords=%22Envision%20Digital%22%20AND%20%28%22head%20of%20data%22%20OR%20%22data%20engineering%20manager%22%20OR%20%22director%20of%20data%22%29&amp;geoUrn=%5B%22102454443%22%5D" TargetMode="External"/><Relationship Id="rId34" Type="http://schemas.openxmlformats.org/officeDocument/2006/relationships/hyperlink" Target="https://www.linkedin.com/search/results/people/?keywords=%22Zhipu%20AI%22%20AND%20%28%22head%20of%20data%22%20OR%20%22data%20engineering%20manager%22%20OR%20%22director%20of%20data%22%29&amp;geoUrn=%5B%22102454443%22%5D" TargetMode="External"/><Relationship Id="rId35" Type="http://schemas.openxmlformats.org/officeDocument/2006/relationships/hyperlink" Target="https://www.linkedin.com/search/results/people/?keywords=%22Bigo%20Technology%22%20AND%20%28%22head%20of%20data%22%20OR%20%22data%20engineering%20manager%22%20OR%20%22director%20of%20data%22%29&amp;geoUrn=%5B%22102454443%22%5D" TargetMode="External"/><Relationship Id="rId36" Type="http://schemas.openxmlformats.org/officeDocument/2006/relationships/hyperlink" Target="https://www.linkedin.com/search/results/people/?keywords=%22FinVolution%20Group%22%20AND%20%28%22head%20of%20data%22%20OR%20%22data%20engineering%20manager%22%20OR%20%22director%20of%20data%22%29&amp;geoUrn=%5B%22102454443%22%5D" TargetMode="External"/><Relationship Id="rId37" Type="http://schemas.openxmlformats.org/officeDocument/2006/relationships/hyperlink" Target="https://www.linkedin.com/search/results/people/?keywords=%22SUNRATE%22%20AND%20%28%22head%20of%20data%22%20OR%20%22data%20engineering%20manager%22%20OR%20%22director%20of%20data%22%29&amp;geoUrn=%5B%22102454443%22%5D" TargetMode="External"/><Relationship Id="rId38" Type="http://schemas.openxmlformats.org/officeDocument/2006/relationships/hyperlink" Target="https://www.linkedin.com/search/results/people/?keywords=%22OKX%22%20AND%20%28%22head%20of%20data%22%20OR%20%22data%20engineering%20manager%22%20OR%20%22director%20of%20data%22%29&amp;geoUrn=%5B%22102454443%22%5D" TargetMode="External"/><Relationship Id="rId39" Type="http://schemas.openxmlformats.org/officeDocument/2006/relationships/hyperlink" Target="https://www.linkedin.com/search/results/people/?keywords=%22Bitdeer%22%20AND%20%28%22head%20of%20data%22%20OR%20%22data%20engineering%20manager%22%20OR%20%22director%20of%20data%22%29&amp;geoUrn=%5B%22102454443%22%5D" TargetMode="External"/><Relationship Id="rId40" Type="http://schemas.openxmlformats.org/officeDocument/2006/relationships/hyperlink" Target="https://www.linkedin.com/search/results/people/?keywords=%22PatSnap%22%20AND%20%28%22head%20of%20data%22%20OR%20%22data%20engineering%20manager%22%20OR%20%22director%20of%20data%22%29&amp;geoUrn=%5B%22102454443%22%5D" TargetMode="External"/><Relationship Id="rId41" Type="http://schemas.openxmlformats.org/officeDocument/2006/relationships/hyperlink" Target="https://www.linkedin.com/search/results/people/?keywords=%22Tabcut%22%20AND%20%28%22head%20of%20data%22%20OR%20%22data%20engineering%20manager%22%20OR%20%22director%20of%20data%22%29&amp;geoUrn=%5B%22102454443%22%5D" TargetMode="External"/><Relationship Id="rId42" Type="http://schemas.openxmlformats.org/officeDocument/2006/relationships/hyperlink" Target="https://www.linkedin.com/search/results/people/?keywords=%22Agnes%20AI%22%20AND%20%28%22head%20of%20data%22%20OR%20%22data%20engineering%20manager%22%20OR%20%22director%20of%20data%22%29&amp;geoUrn=%5B%22102454443%22%5D" TargetMode="External"/><Relationship Id="rId43" Type="http://schemas.openxmlformats.org/officeDocument/2006/relationships/hyperlink" Target="https://www.linkedin.com/search/results/people/?keywords=%22Sapient%20Intelligence%22%20AND%20%28CTO%20OR%20%22VP%20engineering%22%20OR%20%22head%20of%20engineering%22%29&amp;geoUrn=%5B%22102454443%22%5D" TargetMode="External"/><Relationship Id="rId44" Type="http://schemas.openxmlformats.org/officeDocument/2006/relationships/hyperlink" Target="https://www.linkedin.com/search/results/people/?keywords=%22Skywork%20AI%22%20AND%20%28%22head%20of%20data%22%20OR%20%22data%20engineering%20manager%22%20OR%20%22director%20of%20data%22%29&amp;geoUrn=%5B%22102454443%22%5D" TargetMode="External"/><Relationship Id="rId45" Type="http://schemas.openxmlformats.org/officeDocument/2006/relationships/hyperlink" Target="https://www.linkedin.com/search/results/people/?keywords=%22WIZ.AI%22%20AND%20%28%22head%20of%20data%22%20OR%20%22data%20engineering%20manager%22%20OR%20%22director%20of%20data%22%29&amp;geoUrn=%5B%22102454443%22%5D" TargetMode="External"/><Relationship Id="rId46" Type="http://schemas.openxmlformats.org/officeDocument/2006/relationships/hyperlink" Target="https://www.linkedin.com/search/results/people/?keywords=%22Kuaishou%22%20AND%20%28%22head%20of%20data%22%20OR%20%22data%20engineering%20manager%22%20OR%20%22director%20of%20data%22%29&amp;geoUrn=%5B%22102454443%22%5D" TargetMode="External"/><Relationship Id="rId47" Type="http://schemas.openxmlformats.org/officeDocument/2006/relationships/hyperlink" Target="https://www.linkedin.com/search/results/people/?keywords=%22PixVerse%22%20AND%20%28%22head%20of%20data%22%20OR%20%22data%20engineering%20manager%22%20OR%20%22director%20of%20data%22%29&amp;geoUrn=%5B%22102454443%22%5D" TargetMode="External"/><Relationship Id="rId48" Type="http://schemas.openxmlformats.org/officeDocument/2006/relationships/hyperlink" Target="https://www.linkedin.com/search/results/people/?keywords=%22Trip.com%20Group%22%20AND%20%28%22head%20of%20data%22%20OR%20%22data%20engineering%20manager%22%20OR%20%22director%20of%20data%22%29&amp;geoUrn=%5B%22102454443%22%5D" TargetMode="External"/><Relationship Id="rId49" Type="http://schemas.openxmlformats.org/officeDocument/2006/relationships/hyperlink" Target="https://www.linkedin.com/search/results/people/?keywords=%22Huawei%22%20AND%20%28%22head%20of%20data%22%20OR%20%22data%20engineering%20manager%22%20OR%20%22director%20of%20data%22%29&amp;geoUrn=%5B%22102454443%22%5D" TargetMode="External"/><Relationship Id="rId50" Type="http://schemas.openxmlformats.org/officeDocument/2006/relationships/hyperlink" Target="https://www.linkedin.com/search/results/people/?keywords=%22Lark%20International%22%20AND%20%28%22AI%20governance%22%20OR%20%22responsible%20AI%22%20OR%20%22data%20governance%22%29&amp;geoUrn=%5B%22102454443%22%5D" TargetMode="External"/><Relationship Id="rId51" Type="http://schemas.openxmlformats.org/officeDocument/2006/relationships/hyperlink" Target="https://www.linkedin.com/search/results/people/?keywords=%22BytePlus%22%20AND%20%28%22head%20of%20data%22%20OR%20%22data%20engineering%20manager%22%20OR%20%22director%20of%20data%22%29&amp;geoUrn=%5B%22102454443%22%5D" TargetMode="External"/><Relationship Id="rId52" Type="http://schemas.openxmlformats.org/officeDocument/2006/relationships/hyperlink" Target="https://www.linkedin.com/search/results/people/?keywords=%22Tencent%22%20AND%20%28%22head%20of%20data%22%20OR%20%22data%20engineering%20manager%22%20OR%20%22director%20of%20data%22%29&amp;geoUrn=%5B%22102454443%22%5D" TargetMode="External"/><Relationship Id="rId53" Type="http://schemas.openxmlformats.org/officeDocument/2006/relationships/hyperlink" Target="https://www.linkedin.com/search/results/people/?keywords=%22Lazada%22%20AND%20%28%22head%20of%20data%22%20OR%20%22data%20engineering%20manager%22%20OR%20%22director%20of%20data%22%29&amp;geoUrn=%5B%22102454443%22%5D" TargetMode="External"/><Relationship Id="rId54" Type="http://schemas.openxmlformats.org/officeDocument/2006/relationships/hyperlink" Target="https://www.linkedin.com/search/results/people/?keywords=%22Keeta%22%20AND%20%28%22head%20of%20data%22%20OR%20%22data%20engineering%20manager%22%20OR%20%22director%20of%20data%22%29&amp;geoUrn=%5B%22102454443%22%5D" TargetMode="External"/><Relationship Id="rId55" Type="http://schemas.openxmlformats.org/officeDocument/2006/relationships/hyperlink" Target="https://www.linkedin.com/search/results/people/?keywords=%22Temu%22%20AND%20%28%22head%20of%20data%22%20OR%20%22data%20engineering%20manager%22%20OR%20%22director%20of%20data%22%29&amp;geoUrn=%5B%22102454443%22%5D" TargetMode="External"/><Relationship Id="rId56" Type="http://schemas.openxmlformats.org/officeDocument/2006/relationships/hyperlink" Target="https://www.linkedin.com/search/results/people/?keywords=%22PingPong%22%20AND%20%28%22head%20of%20data%22%20OR%20%22data%20engineering%20manager%22%20OR%20%22director%20of%20data%22%29&amp;geoUrn=%5B%22102454443%22%5D" TargetMode="External"/><Relationship Id="rId57" Type="http://schemas.openxmlformats.org/officeDocument/2006/relationships/hyperlink" Target="https://www.linkedin.com/search/results/people/?keywords=%22XTransfer%22%20AND%20%28%22head%20of%20data%22%20OR%20%22data%20engineering%20manager%22%20OR%20%22director%20of%20data%22%29&amp;geoUrn=%5B%22102454443%22%5D" TargetMode="External"/><Relationship Id="rId58" Type="http://schemas.openxmlformats.org/officeDocument/2006/relationships/hyperlink" Target="https://www.linkedin.com/search/results/people/?keywords=%22Airwallex%22%20AND%20%28%22head%20of%20data%22%20OR%20%22data%20engineering%20manager%22%20OR%20%22director%20of%20data%22%29&amp;geoUrn=%5B%22102454443%22%5D" TargetMode="External"/><Relationship Id="rId59" Type="http://schemas.openxmlformats.org/officeDocument/2006/relationships/hyperlink" Target="https://www.linkedin.com/search/results/people/?keywords=%22LianLian%20Global%22%20AND%20%28%22head%20of%20data%22%20OR%20%22data%20engineering%20manager%22%20OR%20%22director%20of%20data%22%29&amp;geoUrn=%5B%22102454443%22%5D" TargetMode="External"/><Relationship Id="rId60" Type="http://schemas.openxmlformats.org/officeDocument/2006/relationships/hyperlink" Target="https://www.linkedin.com/search/results/people/?keywords=%22YouTrip%22%20AND%20%28%22head%20of%20data%22%20OR%20%22data%20engineering%20manager%22%20OR%20%22director%20of%20data%22%29&amp;geoUrn=%5B%22102454443%22%5D" TargetMode="External"/><Relationship Id="rId61" Type="http://schemas.openxmlformats.org/officeDocument/2006/relationships/hyperlink" Target="https://www.linkedin.com/search/results/people/?keywords=%22GXS%20Bank%22%20AND%20%28%22head%20of%20data%22%20OR%20%22data%20engineering%20manager%22%20OR%20%22director%20of%20data%22%29&amp;geoUrn=%5B%22102454443%22%5D" TargetMode="External"/><Relationship Id="rId62" Type="http://schemas.openxmlformats.org/officeDocument/2006/relationships/hyperlink" Target="https://www.linkedin.com/search/results/people/?keywords=%22TrustDecision%22%20AND%20%28%22head%20of%20data%22%20OR%20%22data%20engineering%20manager%22%20OR%20%22director%20of%20data%22%29&amp;geoUrn=%5B%22102454443%22%5D" TargetMode="External"/><Relationship Id="rId63" Type="http://schemas.openxmlformats.org/officeDocument/2006/relationships/hyperlink" Target="https://www.linkedin.com/search/results/people/?keywords=%22OneConnect%22%20AND%20%28%22head%20of%20data%22%20OR%20%22data%20engineering%20manager%22%20OR%20%22director%20of%20data%22%29&amp;geoUrn=%5B%22102454443%22%5D" TargetMode="External"/><Relationship Id="rId64" Type="http://schemas.openxmlformats.org/officeDocument/2006/relationships/hyperlink" Target="https://www.linkedin.com/search/results/people/?keywords=%222C2P%22%20AND%20%28%22head%20of%20data%22%20OR%20%22data%20engineering%20manager%22%20OR%20%22director%20of%20data%22%29&amp;geoUrn=%5B%22102454443%22%5D" TargetMode="External"/><Relationship Id="rId65" Type="http://schemas.openxmlformats.org/officeDocument/2006/relationships/hyperlink" Target="https://www.linkedin.com/search/results/people/?keywords=%22Webull%22%20AND%20%28%22head%20of%20data%22%20OR%20%22data%20engineering%20manager%22%20OR%20%22director%20of%20data%22%29&amp;geoUrn=%5B%22102454443%22%5D" TargetMode="External"/><Relationship Id="rId66" Type="http://schemas.openxmlformats.org/officeDocument/2006/relationships/hyperlink" Target="https://www.linkedin.com/search/results/people/?keywords=%22Longbridge%22%20AND%20%28%22head%20of%20data%22%20OR%20%22data%20engineering%20manager%22%20OR%20%22director%20of%20data%22%29&amp;geoUrn=%5B%22102454443%22%5D" TargetMode="External"/><Relationship Id="rId67" Type="http://schemas.openxmlformats.org/officeDocument/2006/relationships/hyperlink" Target="https://www.linkedin.com/search/results/people/?keywords=%22Binance%22%20AND%20%28%22head%20of%20data%22%20OR%20%22data%20engineering%20manager%22%20OR%20%22director%20of%20data%22%29&amp;geoUrn=%5B%22102454443%22%5D" TargetMode="External"/><Relationship Id="rId68" Type="http://schemas.openxmlformats.org/officeDocument/2006/relationships/hyperlink" Target="https://www.linkedin.com/search/results/people/?keywords=%22Matrixport%22%20AND%20%28%22head%20of%20data%22%20OR%20%22data%20engineering%20manager%22%20OR%20%22director%20of%20data%22%29&amp;geoUrn=%5B%22102454443%22%5D" TargetMode="External"/><Relationship Id="rId69" Type="http://schemas.openxmlformats.org/officeDocument/2006/relationships/hyperlink" Target="https://www.linkedin.com/search/results/people/?keywords=%22Amber%20Group%22%20AND%20%28%22head%20of%20data%22%20OR%20%22data%20engineering%20manager%22%20OR%20%22director%20of%20data%22%29&amp;geoUrn=%5B%22102454443%22%5D" TargetMode="External"/><Relationship Id="rId70" Type="http://schemas.openxmlformats.org/officeDocument/2006/relationships/hyperlink" Target="https://www.linkedin.com/search/results/people/?keywords=%22Coinhako%22%20AND%20%28%22head%20of%20data%22%20OR%20%22data%20engineering%20manager%22%20OR%20%22director%20of%20data%22%29&amp;geoUrn=%5B%22102454443%22%5D" TargetMode="External"/><Relationship Id="rId71" Type="http://schemas.openxmlformats.org/officeDocument/2006/relationships/hyperlink" Target="https://www.linkedin.com/search/results/people/?keywords=%22Paradex%22%20AND%20%28%22head%20of%20data%22%20OR%20%22data%20engineering%20manager%22%20OR%20%22director%20of%20data%22%29&amp;geoUrn=%5B%22102454443%22%5D" TargetMode="External"/><Relationship Id="rId72" Type="http://schemas.openxmlformats.org/officeDocument/2006/relationships/hyperlink" Target="https://www.linkedin.com/search/results/people/?keywords=%22Cobo%22%20AND%20%28%22head%20of%20data%22%20OR%20%22data%20engineering%20manager%22%20OR%20%22director%20of%20data%22%29&amp;geoUrn=%5B%22102454443%22%5D" TargetMode="External"/><Relationship Id="rId73" Type="http://schemas.openxmlformats.org/officeDocument/2006/relationships/hyperlink" Target="https://www.linkedin.com/search/results/people/?keywords=%22Antalpha%22%20AND%20%28%22head%20of%20data%22%20OR%20%22data%20engineering%20manager%22%20OR%20%22director%20of%20data%22%29&amp;geoUrn=%5B%22102454443%22%5D" TargetMode="External"/><Relationship Id="rId74" Type="http://schemas.openxmlformats.org/officeDocument/2006/relationships/hyperlink" Target="https://www.linkedin.com/search/results/people/?keywords=%22WeRide%22%20AND%20%28%22head%20of%20data%22%20OR%20%22data%20engineering%20manager%22%20OR%20%22director%20of%20data%22%29&amp;geoUrn=%5B%22102454443%22%5D" TargetMode="External"/><Relationship Id="rId75" Type="http://schemas.openxmlformats.org/officeDocument/2006/relationships/hyperlink" Target="https://www.linkedin.com/search/results/people/?keywords=%22Pony.ai%22%20AND%20%28%22head%20of%20data%22%20OR%20%22data%20engineering%20manager%22%20OR%20%22director%20of%20data%22%29&amp;geoUrn=%5B%22102454443%22%5D" TargetMode="External"/><Relationship Id="rId76" Type="http://schemas.openxmlformats.org/officeDocument/2006/relationships/hyperlink" Target="https://www.linkedin.com/search/results/people/?keywords=%22AgiBot%22%20AND%20%28CTO%20OR%20%22VP%20engineering%22%20OR%20%22head%20of%20engineering%22%29&amp;geoUrn=%5B%22102454443%22%5D" TargetMode="External"/><Relationship Id="rId77" Type="http://schemas.openxmlformats.org/officeDocument/2006/relationships/hyperlink" Target="https://www.linkedin.com/search/results/people/?keywords=%22NetEase%20Games%22%20AND%20%28%22head%20of%20data%22%20OR%20%22data%20engineering%20manager%22%20OR%20%22director%20of%20data%22%29&amp;geoUrn=%5B%22102454443%22%5D" TargetMode="External"/><Relationship Id="rId78" Type="http://schemas.openxmlformats.org/officeDocument/2006/relationships/hyperlink" Target="https://www.linkedin.com/search/results/people/?keywords=%22Razer%22%20AND%20%28%22head%20of%20data%22%20OR%20%22data%20engineering%20manager%22%20OR%20%22director%20of%20data%22%29&amp;geoUrn=%5B%22102454443%22%5D" TargetMode="External"/><Relationship Id="rId79" Type="http://schemas.openxmlformats.org/officeDocument/2006/relationships/hyperlink" Target="https://www.linkedin.com/search/results/people/?keywords=%22Shoplazza%22%20AND%20%28%22head%20of%20data%22%20OR%20%22data%20engineering%20manager%22%20OR%20%22director%20of%20data%22%29&amp;geoUrn=%5B%22102454443%22%5D" TargetMode="External"/><Relationship Id="rId80" Type="http://schemas.openxmlformats.org/officeDocument/2006/relationships/hyperlink" Target="https://www.linkedin.com/search/results/people/?keywords=%28%22Singapore-based%20Chinese%20cross-border%20e-commerce%22%20OR%20%22DTC%20teams%22%29%20AND%20%28%22head%20of%20data%22%20OR%20%22data%20engineering%20manager%22%20OR%20%22director%20of%20data%" TargetMode="External"/><Relationship Id="rId81" Type="http://schemas.openxmlformats.org/officeDocument/2006/relationships/hyperlink" Target="https://www.linkedin.com/search/results/people/?keywords=%22GoodNotes%22%20AND%20%28%22head%20of%20data%22%20OR%20%22data%20engineering%20manager%22%20OR%20%22director%20of%20data%22%29&amp;geoUrn=%5B%22102454443%22%5D" TargetMode="External"/><Relationship Id="rId82" Type="http://schemas.openxmlformats.org/officeDocument/2006/relationships/hyperlink" Target="https://www.linkedin.com/search/results/people/?keywords=%22Carousell%22%20AND%20%28%22head%20of%20data%22%20OR%20%22data%20engineering%20manager%22%20OR%20%22director%20of%20data%22%29&amp;geoUrn=%5B%22102454443%22%5D" TargetMode="External"/><Relationship Id="rId83" Type="http://schemas.openxmlformats.org/officeDocument/2006/relationships/hyperlink" Target="https://www.linkedin.com/search/results/people/?keywords=%22Ninja%20Van%22%20AND%20%28%22head%20of%20data%22%20OR%20%22data%20engineering%20manager%22%20OR%20%22director%20of%20data%22%29&amp;geoUrn=%5B%22102454443%22%5D" TargetMode="External"/><Relationship Id="rId84" Type="http://schemas.openxmlformats.org/officeDocument/2006/relationships/hyperlink" Target="https://www.linkedin.com/search/results/people/?keywords=%22Bank%20of%20China%22%20AND%20%28%22head%20of%20data%22%20OR%20%22data%20engineering%20manager%22%20OR%20%22director%20of%20data%22%29&amp;geoUrn=%5B%22102454443%22%5D" TargetMode="External"/><Relationship Id="rId85" Type="http://schemas.openxmlformats.org/officeDocument/2006/relationships/hyperlink" Target="https://www.linkedin.com/search/results/people/?keywords=%22ICBC%22%20AND%20%28%22head%20of%20data%22%20OR%20%22data%20engineering%20manager%22%20OR%20%22director%20of%20data%22%29&amp;geoUrn=%5B%22102454443%22%5D" TargetMode="External"/><Relationship Id="rId86" Type="http://schemas.openxmlformats.org/officeDocument/2006/relationships/hyperlink" Target="https://www.linkedin.com/search/results/people/?keywords=%22China%20Construction%20Bank%22%20AND%20%28%22head%20of%20data%22%20OR%20%22data%20engineering%20manager%22%20OR%20%22director%20of%20data%22%29&amp;geoUrn=%5B%22102454443%22%5D" TargetMode="External"/><Relationship Id="rId87" Type="http://schemas.openxmlformats.org/officeDocument/2006/relationships/hyperlink" Target="https://www.linkedin.com/search/results/people/?keywords=%22Agricultural%20Bank%20of%20China%22%20AND%20%28%22head%20of%20data%22%20OR%20%22data%20engineering%20manager%22%20OR%20%22director%20of%20data%22%29&amp;geoUrn=%5B%22102454443%22%5D" TargetMode="External"/><Relationship Id="rId88" Type="http://schemas.openxmlformats.org/officeDocument/2006/relationships/hyperlink" Target="https://www.linkedin.com/search/results/people/?keywords=%22China%20Merchants%20Bank%22%20AND%20%28%22head%20of%20data%22%20OR%20%22data%20engineering%20manager%22%20OR%20%22director%20of%20data%22%29&amp;geoUrn=%5B%22102454443%22%5D" TargetMode="External"/><Relationship Id="rId89" Type="http://schemas.openxmlformats.org/officeDocument/2006/relationships/hyperlink" Target="https://www.linkedin.com/search/results/people/?keywords=%22China%20Taiping%20Insurance%22%20AND%20%28%22head%20of%20data%22%20OR%20%22data%20engineering%20manager%22%20OR%20%22director%20of%20data%22%29&amp;geoUrn=%5B%22102454443%22%5D" TargetMode="External"/><Relationship Id="rId90" Type="http://schemas.openxmlformats.org/officeDocument/2006/relationships/hyperlink" Target="https://www.linkedin.com/search/results/people/?keywords=%22FWD%22%20AND%20%28%22head%20of%20data%22%20OR%20%22data%20engineering%20manager%22%20OR%20%22director%20of%20data%22%29&amp;geoUrn=%5B%22102454443%22%5D" TargetMode="External"/><Relationship Id="rId91" Type="http://schemas.openxmlformats.org/officeDocument/2006/relationships/hyperlink" Target="https://www.linkedin.com/search/results/people/?keywords=%22China%20Life%20Insurance%22%20AND%20%28%22head%20of%20data%22%20OR%20%22data%20engineering%20manager%22%20OR%20%22director%20of%20data%22%29&amp;geoUrn=%5B%22102454443%22%5D" TargetMode="External"/><Relationship Id="rId92" Type="http://schemas.openxmlformats.org/officeDocument/2006/relationships/hyperlink" Target="https://www.linkedin.com/search/results/people/?keywords=%22CICC%22%20AND%20%28%22head%20of%20data%22%20OR%20%22data%20engineering%20manager%22%20OR%20%22director%20of%20data%22%29&amp;geoUrn=%5B%22102454443%22%5D" TargetMode="External"/><Relationship Id="rId93" Type="http://schemas.openxmlformats.org/officeDocument/2006/relationships/hyperlink" Target="https://www.linkedin.com/search/results/people/?keywords=%22Guotai%20Haitong%20International%22%20AND%20%28%22head%20of%20data%22%20OR%20%22data%20engineering%20manager%22%20OR%20%22director%20of%20data%22%29&amp;geoUrn=%5B%22102454443%22%5D" TargetMode="External"/><Relationship Id="rId94" Type="http://schemas.openxmlformats.org/officeDocument/2006/relationships/hyperlink" Target="https://www.linkedin.com/search/results/people/?keywords=%22Ubiquant%22%20AND%20%28%22head%20of%20data%22%20OR%20%22data%20engineering%20manager%22%20OR%20%22director%20of%20data%22%29&amp;geoUrn=%5B%22102454443%22%5D" TargetMode="External"/><Relationship Id="rId95" Type="http://schemas.openxmlformats.org/officeDocument/2006/relationships/hyperlink" Target="https://www.linkedin.com/search/results/people/?keywords=%22Minghong%20Investment%22%20AND%20%28%22head%20of%20data%22%20OR%20%22data%20engineering%20manager%22%20OR%20%22director%20of%20data%22%29&amp;geoUrn=%5B%22102454443%22%5D" TargetMode="External"/><Relationship Id="rId96" Type="http://schemas.openxmlformats.org/officeDocument/2006/relationships/hyperlink" Target="https://www.linkedin.com/search/results/people/?keywords=%22Pinpoint%20Asset%20Management%22%20AND%20%28%22head%20of%20data%22%20OR%20%22data%20engineering%20manager%22%20OR%20%22director%20of%20data%22%29&amp;geoUrn=%5B%22102454443%22%5D" TargetMode="External"/><Relationship Id="rId97" Type="http://schemas.openxmlformats.org/officeDocument/2006/relationships/hyperlink" Target="https://www.linkedin.com/search/results/people/?keywords=%22DRW%22%20AND%20%28%22head%20of%20data%22%20OR%20%22data%20engineering%20manager%22%20OR%20%22director%20of%20data%22%29&amp;geoUrn=%5B%22102454443%22%5D" TargetMode="External"/><Relationship Id="rId98" Type="http://schemas.openxmlformats.org/officeDocument/2006/relationships/hyperlink" Target="https://www.linkedin.com/search/results/people/?keywords=%22Tower%20Research%20Capital%22%20AND%20%28%22head%20of%20data%22%20OR%20%22data%20engineering%20manager%22%20OR%20%22director%20of%20data%22%29&amp;geoUrn=%5B%22102454443%22%5D" TargetMode="External"/><Relationship Id="rId99" Type="http://schemas.openxmlformats.org/officeDocument/2006/relationships/hyperlink" Target="https://www.linkedin.com/search/results/people/?keywords=%22Jump%20Trading%22%20AND%20%28%22head%20of%20data%22%20OR%20%22data%20engineering%20manager%22%20OR%20%22director%20of%20data%22%29&amp;geoUrn=%5B%22102454443%22%5D" TargetMode="External"/><Relationship Id="rId100" Type="http://schemas.openxmlformats.org/officeDocument/2006/relationships/hyperlink" Target="https://www.linkedin.com/search/results/people/?keywords=%22XTX%20Markets%22%20AND%20%28%22head%20of%20data%22%20OR%20%22data%20engineering%20manager%22%20OR%20%22director%20of%20data%22%29&amp;geoUrn=%5B%22102454443%22%5D" TargetMode="External"/><Relationship Id="rId101" Type="http://schemas.openxmlformats.org/officeDocument/2006/relationships/hyperlink" Target="https://www.linkedin.com/search/results/people/?keywords=%22Squarepoint%20Capital%22%20AND%20%28%22head%20of%20data%22%20OR%20%22data%20engineering%20manager%22%20OR%20%22director%20of%20data%22%29&amp;geoUrn=%5B%22102454443%22%5D" TargetMode="External"/><Relationship Id="rId102" Type="http://schemas.openxmlformats.org/officeDocument/2006/relationships/hyperlink" Target="https://www.linkedin.com/search/results/people/?keywords=%22Grasshopper%22%20AND%20%28%22head%20of%20data%22%20OR%20%22data%20engineering%20manager%22%20OR%20%22director%20of%20data%22%29&amp;geoUrn=%5B%22102454443%22%5D" TargetMode="External"/><Relationship Id="rId103" Type="http://schemas.openxmlformats.org/officeDocument/2006/relationships/hyperlink" Target="https://www.linkedin.com/search/results/people/?keywords=%22Millennium%20Management%22%20AND%20%28%22head%20of%20data%22%20OR%20%22data%20engineering%20manager%22%20OR%20%22director%20of%20data%22%29&amp;geoUrn=%5B%22102454443%22%5D" TargetMode="External"/><Relationship Id="rId104" Type="http://schemas.openxmlformats.org/officeDocument/2006/relationships/hyperlink" Target="https://www.linkedin.com/search/results/people/?keywords=%28%22Point72%22%20OR%20%22Cubist%22%29%20AND%20%28%22head%20of%20data%22%20OR%20%22data%20engineering%20manager%22%20OR%20%22director%20of%20data%22%29&amp;geoUrn=%5B%22102454443%22%5D" TargetMode="External"/><Relationship Id="rId105" Type="http://schemas.openxmlformats.org/officeDocument/2006/relationships/hyperlink" Target="https://www.linkedin.com/search/results/people/?keywords=%28%22Citadel%22%20OR%20%22Citadel%20Securities%22%29%20AND%20%28%22head%20of%20data%22%20OR%20%22data%20engineering%20manager%22%20OR%20%22director%20of%20data%22%29&amp;geoUrn=%5B%22102454443%22%5D" TargetMode="External"/><Relationship Id="rId106" Type="http://schemas.openxmlformats.org/officeDocument/2006/relationships/hyperlink" Target="https://www.linkedin.com/search/results/people/?keywords=%22Trend%20Micro%22%20AND%20%28CISO%20OR%20%22head%20of%20security%22%20OR%20%22security%20engineering%22%29&amp;geoUrn=%5B%22102454443%22%5D" TargetMode="External"/><Relationship Id="rId107" Type="http://schemas.openxmlformats.org/officeDocument/2006/relationships/hyperlink" Target="https://www.linkedin.com/search/results/people/?keywords=%22Sangfor%20Technologies%22%20AND%20%28CISO%20OR%20%22head%20of%20security%22%20OR%20%22security%20engineering%22%29&amp;geoUrn=%5B%22102454443%22%5D" TargetMode="External"/><Relationship Id="rId108" Type="http://schemas.openxmlformats.org/officeDocument/2006/relationships/hyperlink" Target="https://www.linkedin.com/search/results/people/?keywords=%22Group-IB%22%20AND%20%28CISO%20OR%20%22head%20of%20security%22%20OR%20%22security%20engineering%22%29&amp;geoUrn=%5B%22102454443%22%5D" TargetMode="External"/><Relationship Id="rId109" Type="http://schemas.openxmlformats.org/officeDocument/2006/relationships/hyperlink" Target="https://www.linkedin.com/search/results/people/?keywords=%22Ensign%20InfoSecurity%22%20AND%20%28CISO%20OR%20%22head%20of%20security%22%20OR%20%22security%20engineering%22%29&amp;geoUrn=%5B%22102454443%22%5D" TargetMode="External"/><Relationship Id="rId110" Type="http://schemas.openxmlformats.org/officeDocument/2006/relationships/hyperlink" Target="https://www.linkedin.com/search/results/people/?keywords=%22Unnamed%20AI%20red-team%20security%20consultancy%22%20AND%20%28CISO%20OR%20%22head%20of%20security%22%20OR%20%22security%20engineering%22%29&amp;geoUrn=%5B%22102454443%22%5D" TargetMode="External"/><Relationship Id="rId111" Type="http://schemas.openxmlformats.org/officeDocument/2006/relationships/hyperlink" Target="https://www.linkedin.com/search/results/people/?keywords=%22KPMG%22%20AND%20%28%22AI%20governance%22%20OR%20%22responsible%20AI%22%20OR%20%22data%20governance%22%29&amp;geoUrn=%5B%22102454443%22%5D" TargetMode="External"/><Relationship Id="rId112" Type="http://schemas.openxmlformats.org/officeDocument/2006/relationships/hyperlink" Target="https://www.linkedin.com/search/results/people/?keywords=%22Deloitte%22%20AND%20%28%22AI%20governance%22%20OR%20%22responsible%20AI%22%20OR%20%22data%20governance%22%29&amp;geoUrn=%5B%22102454443%22%5D" TargetMode="External"/><Relationship Id="rId113" Type="http://schemas.openxmlformats.org/officeDocument/2006/relationships/hyperlink" Target="https://www.linkedin.com/search/results/people/?keywords=%22Accenture%22%20AND%20%28%22AI%20governance%22%20OR%20%22responsible%20AI%22%20OR%20%22data%20governance%22%29&amp;geoUrn=%5B%22102454443%22%5D" TargetMode="External"/><Relationship Id="rId114" Type="http://schemas.openxmlformats.org/officeDocument/2006/relationships/hyperlink" Target="https://www.linkedin.com/search/results/people/?keywords=%22Resaro%22%20AND%20%28%22AI%20governance%22%20OR%20%22responsible%20AI%22%20OR%20%22data%20governance%22%29&amp;geoUrn=%5B%22102454443%22%5D" TargetMode="External"/><Relationship Id="rId115" Type="http://schemas.openxmlformats.org/officeDocument/2006/relationships/hyperlink" Target="https://www.linkedin.com/search/results/people/?keywords=%22Temus%22%20AND%20%28%22head%20of%20data%22%20OR%20%22data%20engineering%20manager%22%20OR%20%22director%20of%20data%22%29&amp;geoUrn=%5B%22102454443%22%5D" TargetMode="External"/><Relationship Id="rId116" Type="http://schemas.openxmlformats.org/officeDocument/2006/relationships/hyperlink" Target="https://www.linkedin.com/search/results/people/?keywords=%22DCITS%22%20AND%20%28%22head%20of%20data%22%20OR%20%22data%20engineering%20manager%22%20OR%20%22director%20of%20data%22%29&amp;geoUrn=%5B%22102454443%22%5D" TargetMode="External"/><Relationship Id="rId117" Type="http://schemas.openxmlformats.org/officeDocument/2006/relationships/hyperlink" Target="https://www.linkedin.com/search/results/people/?keywords=%22Sunline%20Technology%22%20AND%20%28%22head%20of%20data%22%20OR%20%22data%20engineering%20manager%22%20OR%20%22director%20of%20data%22%29&amp;geoUrn=%5B%22102454443%22%5D" TargetMode="External"/><Relationship Id="rId118" Type="http://schemas.openxmlformats.org/officeDocument/2006/relationships/hyperlink" Target="https://www.linkedin.com/search/results/people/?keywords=%22OCBC%20Bank%22%20AND%20%28%22head%20of%20data%22%20OR%20%22data%20engineering%20manager%22%20OR%20%22director%20of%20data%22%29&amp;geoUrn=%5B%22102454443%22%5D" TargetMode="External"/><Relationship Id="rId119" Type="http://schemas.openxmlformats.org/officeDocument/2006/relationships/hyperlink" Target="https://www.linkedin.com/search/results/people/?keywords=%22Standard%20Chartered%22%20AND%20%28%22AI%20governance%22%20OR%20%22responsible%20AI%22%20OR%20%22data%20governance%22%29&amp;geoUrn=%5B%22102454443%22%5D" TargetMode="External"/><Relationship Id="rId120" Type="http://schemas.openxmlformats.org/officeDocument/2006/relationships/hyperlink" Target="https://www.linkedin.com/search/results/people/?keywords=%22HSBC%22%20AND%20%28%22AI%20governance%22%20OR%20%22responsible%20AI%22%20OR%20%22data%20governance%22%29&amp;geoUrn=%5B%22102454443%22%5D" TargetMode="External"/><Relationship Id="rId121" Type="http://schemas.openxmlformats.org/officeDocument/2006/relationships/hyperlink" Target="https://www.linkedin.com/search/results/people/?keywords=%22AIA%22%20AND%20%28%22AI%20governance%22%20OR%20%22responsible%20AI%22%20OR%20%22data%20governance%22%29&amp;geoUrn=%5B%22102454443%22%5D" TargetMode="External"/><Relationship Id="rId122" Type="http://schemas.openxmlformats.org/officeDocument/2006/relationships/hyperlink" Target="https://www.linkedin.com/search/results/people/?keywords=%22Citi%22%20AND%20%28%22head%20of%20data%22%20OR%20%22data%20engineering%20manager%22%20OR%20%22director%20of%20data%22%29&amp;geoUrn=%5B%22102454443%22%5D" TargetMode="External"/><Relationship Id="rId123" Type="http://schemas.openxmlformats.org/officeDocument/2006/relationships/hyperlink" Target="https://www.linkedin.com/search/results/people/?keywords=%22JPMorgan%22%20AND%20%28%22head%20of%20data%22%20OR%20%22data%20engineering%20manager%22%20OR%20%22director%20of%20data%22%29&amp;geoUrn=%5B%22102454443%22%5D" TargetMode="External"/><Relationship Id="rId124" Type="http://schemas.openxmlformats.org/officeDocument/2006/relationships/hyperlink" Target="https://www.linkedin.com/search/results/people/?keywords=%22MUFG%20Bank%22%20AND%20%28%22head%20of%20data%22%20OR%20%22data%20engineering%20manager%22%20OR%20%22director%20of%20data%22%29&amp;geoUrn=%5B%22102454443%22%5D" TargetMode="External"/><Relationship Id="rId125" Type="http://schemas.openxmlformats.org/officeDocument/2006/relationships/hyperlink" Target="https://www.linkedin.com/search/results/people/?keywords=%22SMBC%22%20AND%20%28%22head%20of%20data%22%20OR%20%22data%20engineering%20manager%22%20OR%20%22director%20of%20data%22%29&amp;geoUrn=%5B%22102454443%22%5D" TargetMode="External"/><Relationship Id="rId126" Type="http://schemas.openxmlformats.org/officeDocument/2006/relationships/hyperlink" Target="https://www.linkedin.com/search/results/people/?keywords=%22UBS%22%20AND%20%28%22AI%20governance%22%20OR%20%22responsible%20AI%22%20OR%20%22data%20governance%22%29&amp;geoUrn=%5B%22102454443%22%5D" TargetMode="External"/><Relationship Id="rId127" Type="http://schemas.openxmlformats.org/officeDocument/2006/relationships/hyperlink" Target="https://www.linkedin.com/search/results/people/?keywords=%22Julius%20Baer%22%20AND%20%28%22AI%20governance%22%20OR%20%22responsible%20AI%22%20OR%20%22data%20governance%22%29&amp;geoUrn=%5B%22102454443%22%5D" TargetMode="External"/><Relationship Id="rId128" Type="http://schemas.openxmlformats.org/officeDocument/2006/relationships/hyperlink" Target="https://www.linkedin.com/search/results/people/?keywords=%22Maybank%22%20AND%20%28%22head%20of%20data%22%20OR%20%22data%20engineering%20manager%22%20OR%20%22director%20of%20data%22%29&amp;geoUrn=%5B%22102454443%22%5D" TargetMode="External"/><Relationship Id="rId129" Type="http://schemas.openxmlformats.org/officeDocument/2006/relationships/hyperlink" Target="https://www.linkedin.com/search/results/people/?keywords=%22HSBC%20Life%22%20AND%20%28%22AI%20governance%22%20OR%20%22responsible%20AI%22%20OR%20%22data%20governance%22%29&amp;geoUrn=%5B%22102454443%22%5D" TargetMode="External"/><Relationship Id="rId130" Type="http://schemas.openxmlformats.org/officeDocument/2006/relationships/hyperlink" Target="https://www.linkedin.com/search/results/people/?keywords=%22Manulife%22%20AND%20%28%22AI%20governance%22%20OR%20%22responsible%20AI%22%20OR%20%22data%20governance%22%29&amp;geoUrn=%5B%22102454443%22%5D" TargetMode="External"/><Relationship Id="rId131" Type="http://schemas.openxmlformats.org/officeDocument/2006/relationships/hyperlink" Target="https://www.linkedin.com/search/results/people/?keywords=%22BlackRock%22%20AND%20%28%22head%20of%20data%22%20OR%20%22data%20engineering%20manager%22%20OR%20%22director%20of%20data%22%29&amp;geoUrn=%5B%22102454443%22%5D" TargetMode="External"/><Relationship Id="rId132" Type="http://schemas.openxmlformats.org/officeDocument/2006/relationships/hyperlink" Target="https://www.linkedin.com/search/results/people/?keywords=%22Eastspring%20Investments%22%20AND%20%28%22head%20of%20data%22%20OR%20%22data%20engineering%20manager%22%20OR%20%22director%20of%20data%22%29&amp;geoUrn=%5B%22102454443%22%5D" TargetMode="External"/><Relationship Id="rId133" Type="http://schemas.openxmlformats.org/officeDocument/2006/relationships/hyperlink" Target="https://www.linkedin.com/search/results/people/?keywords=%22Argus%20Media%22%20AND%20%28%22head%20of%20data%22%20OR%20%22data%20engineering%20manager%22%20OR%20%22director%20of%20data%22%29&amp;geoUrn=%5B%22102454443%22%5D" TargetMode="External"/><Relationship Id="rId134" Type="http://schemas.openxmlformats.org/officeDocument/2006/relationships/hyperlink" Target="https://www.linkedin.com/search/results/people/?keywords=%22AI%20Rudder%22%20AND%20%28%22head%20of%20data%22%20OR%20%22data%20engineering%20manager%22%20OR%20%22director%20of%20data%22%29&amp;geoUrn=%5B%22102454443%22%5D" TargetMode="External"/><Relationship Id="rId135" Type="http://schemas.openxmlformats.org/officeDocument/2006/relationships/hyperlink" Target="https://www.linkedin.com/search/results/people/?keywords=%22Green%20Link%20Digital%20Bank%22%20AND%20%28%22head%20of%20data%22%20OR%20%22data%20engineering%20manager%22%20OR%20%22director%20of%20data%22%29&amp;geoUrn=%5B%22102454443%22%5D" TargetMode="External"/><Relationship Id="rId136" Type="http://schemas.openxmlformats.org/officeDocument/2006/relationships/hyperlink" Target="https://www.linkedin.com/search/results/people/?keywords=%22Trust%20Bank%22%20AND%20%28%22head%20of%20data%22%20OR%20%22data%20engineering%20manager%22%20OR%20%22director%20of%20data%22%29&amp;geoUrn=%5B%22102454443%22%5D" TargetMode="External"/><Relationship Id="rId137" Type="http://schemas.openxmlformats.org/officeDocument/2006/relationships/hyperlink" Target="https://www.linkedin.com/search/results/people/?keywords=%22LexinFintech%22%20AND%20%28%22head%20of%20data%22%20OR%20%22data%20engineering%20manager%22%20OR%20%22director%20of%20data%22%29&amp;geoUrn=%5B%22102454443%22%5D" TargetMode="External"/><Relationship Id="rId138" Type="http://schemas.openxmlformats.org/officeDocument/2006/relationships/hyperlink" Target="https://www.linkedin.com/search/results/people/?keywords=%22Jiayin%20Group%22%20AND%20%28%22head%20of%20data%22%20OR%20%22data%20engineering%20manager%22%20OR%20%22director%20of%20data%22%29&amp;geoUrn=%5B%22102454443%22%5D" TargetMode="External"/><Relationship Id="rId139" Type="http://schemas.openxmlformats.org/officeDocument/2006/relationships/hyperlink" Target="https://www.linkedin.com/search/results/people/?keywords=%22UnionPay%20International%22%20AND%20%28%22head%20of%20data%22%20OR%20%22data%20engineering%20manager%22%20OR%20%22director%20of%20data%22%29&amp;geoUrn=%5B%22102454443%22%5D" TargetMode="External"/><Relationship Id="rId140" Type="http://schemas.openxmlformats.org/officeDocument/2006/relationships/hyperlink" Target="https://www.linkedin.com/search/results/people/?keywords=%22Bitget%22%20AND%20%28%22head%20of%20data%22%20OR%20%22data%20engineering%20manager%22%20OR%20%22director%20of%20data%22%29&amp;geoUrn=%5B%22102454443%22%5D" TargetMode="External"/><Relationship Id="rId141" Type="http://schemas.openxmlformats.org/officeDocument/2006/relationships/hyperlink" Target="https://www.linkedin.com/search/results/people/?keywords=%22Crypto.com%22%20AND%20%28%22head%20of%20data%22%20OR%20%22data%20engineering%20manager%22%20OR%20%22director%20of%20data%22%29&amp;geoUrn=%5B%22102454443%22%5D" TargetMode="External"/><Relationship Id="rId142" Type="http://schemas.openxmlformats.org/officeDocument/2006/relationships/hyperlink" Target="https://www.linkedin.com/search/results/people/?keywords=%22imToken%22%20AND%20%28CISO%20OR%20%22head%20of%20security%22%20OR%20%22security%20engineering%22%29&amp;geoUrn=%5B%22102454443%22%5D" TargetMode="External"/><Relationship Id="rId143" Type="http://schemas.openxmlformats.org/officeDocument/2006/relationships/hyperlink" Target="https://www.linkedin.com/search/results/people/?keywords=%22Unitree%20Robotics%22%20AND%20%28CTO%20OR%20%22VP%20engineering%22%20OR%20%22head%20of%20engineering%22%29&amp;geoUrn=%5B%22102454443%22%5D" TargetMode="External"/><Relationship Id="rId144" Type="http://schemas.openxmlformats.org/officeDocument/2006/relationships/hyperlink" Target="https://www.linkedin.com/search/results/people/?keywords=%22Geek%2B%22%20AND%20%28%22head%20of%20data%22%20OR%20%22data%20engineering%20manager%22%20OR%20%22director%20of%20data%22%29&amp;geoUrn=%5B%22102454443%22%5D" TargetMode="External"/><Relationship Id="rId145" Type="http://schemas.openxmlformats.org/officeDocument/2006/relationships/hyperlink" Target="https://www.linkedin.com/search/results/people/?keywords=%22IGG%22%20AND%20%28%22head%20of%20data%22%20OR%20%22data%20engineering%20manager%22%20OR%20%22director%20of%20data%22%29&amp;geoUrn=%5B%22102454443%22%5D" TargetMode="External"/><Relationship Id="rId146" Type="http://schemas.openxmlformats.org/officeDocument/2006/relationships/hyperlink" Target="https://www.linkedin.com/search/results/people/?keywords=%22FunPlus%22%20AND%20%28%22head%20of%20data%22%20OR%20%22data%20engineering%20manager%22%20OR%20%22director%20of%20data%22%29&amp;geoUrn=%5B%22102454443%22%5D" TargetMode="External"/><Relationship Id="rId147" Type="http://schemas.openxmlformats.org/officeDocument/2006/relationships/hyperlink" Target="https://www.linkedin.com/search/results/people/?keywords=%22Lilith%20Games%22%20AND%20%28%22head%20of%20data%22%20OR%20%22data%20engineering%20manager%22%20OR%20%22director%20of%20data%22%29&amp;geoUrn=%5B%22102454443%22%5D" TargetMode="External"/><Relationship Id="rId148" Type="http://schemas.openxmlformats.org/officeDocument/2006/relationships/hyperlink" Target="https://www.linkedin.com/search/results/people/?keywords=%22Moonton%22%20AND%20%28%22head%20of%20data%22%20OR%20%22data%20engineering%20manager%22%20OR%20%22director%20of%20data%22%29&amp;geoUrn=%5B%22102454443%22%5D" TargetMode="External"/><Relationship Id="rId149" Type="http://schemas.openxmlformats.org/officeDocument/2006/relationships/hyperlink" Target="https://www.linkedin.com/search/results/people/?keywords=%22Shopline%22%20AND%20%28%22head%20of%20data%22%20OR%20%22data%20engineering%20manager%22%20OR%20%22director%20of%20data%22%29&amp;geoUrn=%5B%22102454443%22%5D" TargetMode="External"/><Relationship Id="rId150" Type="http://schemas.openxmlformats.org/officeDocument/2006/relationships/hyperlink" Target="https://www.linkedin.com/search/results/people/?keywords=%22ShopBack%22%20AND%20%28%22head%20of%20data%22%20OR%20%22data%20engineering%20manager%22%20OR%20%22director%20of%20data%22%29&amp;geoUrn=%5B%22102454443%22%5D" TargetMode="External"/><Relationship Id="rId151" Type="http://schemas.openxmlformats.org/officeDocument/2006/relationships/hyperlink" Target="https://www.linkedin.com/search/results/people/?keywords=%22J%26T%20Express%22%20AND%20%28%22head%20of%20data%22%20OR%20%22data%20engineering%20manager%22%20OR%20%22director%20of%20data%22%29&amp;geoUrn=%5B%22102454443%22%5D" TargetMode="External"/><Relationship Id="rId152" Type="http://schemas.openxmlformats.org/officeDocument/2006/relationships/hyperlink" Target="https://www.linkedin.com/search/results/people/?keywords=%22Super%20Hi%20International%22%20AND%20%28%22head%20of%20data%22%20OR%20%22data%20engineering%20manager%22%20OR%20%22director%20of%20data%22%29&amp;geoUrn=%5B%22102454443%22%5D" TargetMode="External"/><Relationship Id="rId153" Type="http://schemas.openxmlformats.org/officeDocument/2006/relationships/hyperlink" Target="https://www.linkedin.com/search/results/people/?keywords=%22Bank%20of%20Communications%22%20AND%20%28%22head%20of%20data%22%20OR%20%22data%20engineering%20manager%22%20OR%20%22director%20of%20data%22%29&amp;geoUrn=%5B%22102454443%22%5D" TargetMode="External"/><Relationship Id="rId154" Type="http://schemas.openxmlformats.org/officeDocument/2006/relationships/hyperlink" Target="https://www.linkedin.com/search/results/people/?keywords=%22Haitong%20International%20Securities%22%20AND%20%28%22head%20of%20data%22%20OR%20%22data%20engineering%20manager%22%20OR%20%22director%20of%20data%22%29&amp;geoUrn=%5B%22102454443%22%5D" TargetMode="External"/><Relationship Id="rId155" Type="http://schemas.openxmlformats.org/officeDocument/2006/relationships/hyperlink" Target="https://www.linkedin.com/search/results/people/?keywords=%22China%20Galaxy%20International%22%20AND%20%28%22head%20of%20data%22%20OR%20%22data%20engineering%20manager%22%20OR%20%22director%20of%20data%22%29&amp;geoUrn=%5B%22102454443%22%5D" TargetMode="External"/><Relationship Id="rId156" Type="http://schemas.openxmlformats.org/officeDocument/2006/relationships/hyperlink" Target="https://www.linkedin.com/search/results/people/?keywords=%22GF%20Securities%22%20AND%20%28%22head%20of%20data%22%20OR%20%22data%20engineering%20manager%22%20OR%20%22director%20of%20data%22%29&amp;geoUrn=%5B%22102454443%22%5D" TargetMode="External"/><Relationship Id="rId157" Type="http://schemas.openxmlformats.org/officeDocument/2006/relationships/hyperlink" Target="https://www.linkedin.com/search/results/people/?keywords=%22CLSA%22%20AND%20%28%22head%20of%20data%22%20OR%20%22data%20engineering%20manager%22%20OR%20%22director%20of%20data%22%29&amp;geoUrn=%5B%22102454443%22%5D" TargetMode="External"/><Relationship Id="rId158" Type="http://schemas.openxmlformats.org/officeDocument/2006/relationships/hyperlink" Target="https://www.linkedin.com/search/results/people/?keywords=%22WorldQuant%22%20AND%20%28%22head%20of%20data%22%20OR%20%22data%20engineering%20manager%22%20OR%20%22director%20of%20data%22%29&amp;geoUrn=%5B%22102454443%22%5D" TargetMode="External"/><Relationship Id="rId159" Type="http://schemas.openxmlformats.org/officeDocument/2006/relationships/hyperlink" Target="https://www.linkedin.com/search/results/people/?keywords=%22Nianqiu%22%20AND%20%28%22head%20of%20data%22%20OR%20%22data%20engineering%20manager%22%20OR%20%22director%20of%20data%22%29&amp;geoUrn=%5B%22102454443%22%5D" TargetMode="External"/><Relationship Id="rId160" Type="http://schemas.openxmlformats.org/officeDocument/2006/relationships/hyperlink" Target="https://www.linkedin.com/search/results/people/?keywords=%22Balyasny%20Asset%20Management%22%20AND%20%28%22head%20of%20data%22%20OR%20%22data%20engineering%20manager%22%20OR%20%22director%20of%20data%22%29&amp;geoUrn=%5B%22102454443%22%5D" TargetMode="External"/><Relationship Id="rId161" Type="http://schemas.openxmlformats.org/officeDocument/2006/relationships/hyperlink" Target="https://www.linkedin.com/search/results/people/?keywords=%22Wintermute%22%20AND%20%28%22head%20of%20data%22%20OR%20%22data%20engineering%20manager%22%20OR%20%22director%20of%20data%22%29&amp;geoUrn=%5B%22102454443%22%5D" TargetMode="External"/><Relationship Id="rId162" Type="http://schemas.openxmlformats.org/officeDocument/2006/relationships/hyperlink" Target="https://www.linkedin.com/search/results/people/?keywords=%22Flow%20Traders%22%20AND%20%28%22head%20of%20data%22%20OR%20%22data%20engineering%20manager%22%20OR%20%22director%20of%20data%22%29&amp;geoUrn=%5B%22102454443%22%5D" TargetMode="External"/><Relationship Id="rId163" Type="http://schemas.openxmlformats.org/officeDocument/2006/relationships/hyperlink" Target="https://www.linkedin.com/search/results/people/?keywords=%22Palo%20Alto%20Networks%22%20AND%20%28CISO%20OR%20%22head%20of%20security%22%20OR%20%22security%20engineering%22%29&amp;geoUrn=%5B%22102454443%22%5D" TargetMode="External"/><Relationship Id="rId164" Type="http://schemas.openxmlformats.org/officeDocument/2006/relationships/hyperlink" Target="https://www.linkedin.com/search/results/people/?keywords=%22Acronis%22%20AND%20%28CISO%20OR%20%22head%20of%20security%22%20OR%20%22security%20engineering%22%29&amp;geoUrn=%5B%22102454443%22%5D" TargetMode="External"/><Relationship Id="rId165" Type="http://schemas.openxmlformats.org/officeDocument/2006/relationships/hyperlink" Target="https://www.linkedin.com/search/results/people/?keywords=%22Pactera%22%20AND%20%28%22head%20of%20data%22%20OR%20%22data%20engineering%20manager%22%20OR%20%22director%20of%20data%22%29&amp;geoUrn=%5B%22102454443%22%5D" TargetMode="External"/><Relationship Id="rId166" Type="http://schemas.openxmlformats.org/officeDocument/2006/relationships/hyperlink" Target="https://www.linkedin.com/search/results/people/?keywords=%22CIMB%22%20AND%20%28%22head%20of%20data%22%20OR%20%22data%20engineering%20manager%22%20OR%20%22director%20of%20data%22%29&amp;geoUrn=%5B%22102454443%22%5D" TargetMode="External"/><Relationship Id="rId167" Type="http://schemas.openxmlformats.org/officeDocument/2006/relationships/hyperlink" Target="https://www.linkedin.com/search/results/people/?keywords=%22Singlife%22%20AND%20%28%22AI%20governance%22%20OR%20%22responsible%20AI%22%20OR%20%22data%20governance%22%29&amp;geoUrn=%5B%22102454443%22%5D" TargetMode="External"/><Relationship Id="rId168" Type="http://schemas.openxmlformats.org/officeDocument/2006/relationships/hyperlink" Target="https://www.linkedin.com/search/results/people/?keywords=%22MSIG%22%20AND%20%28%22AI%20governance%22%20OR%20%22responsible%20AI%22%20OR%20%22data%20governance%22%29&amp;geoUrn=%5B%22102454443%22%5D" TargetMode="External"/><Relationship Id="rId169" Type="http://schemas.openxmlformats.org/officeDocument/2006/relationships/hyperlink" Target="https://www.linkedin.com/search/results/people/?keywords=%22Munich%20Re%22%20AND%20%28%22head%20of%20data%22%20OR%20%22data%20engineering%20manager%22%20OR%20%22director%20of%20data%22%29&amp;geoUrn=%5B%22102454443%22%5D" TargetMode="External"/><Relationship Id="rId170" Type="http://schemas.openxmlformats.org/officeDocument/2006/relationships/hyperlink" Target="https://www.linkedin.com/search/results/people/?keywords=%22Great%20Eastern%20Life%22%20AND%20%28%22AI%20governance%22%20OR%20%22responsible%20AI%22%20OR%20%22data%20governance%22%29&amp;geoUrn=%5B%22102454443%22%5D" TargetMode="External"/><Relationship Id="rId171" Type="http://schemas.openxmlformats.org/officeDocument/2006/relationships/hyperlink" Target="https://www.linkedin.com/search/results/people/?keywords=%22Income%20Insurance%22%20AND%20%28%22AI%20governance%22%20OR%20%22responsible%20AI%22%20OR%20%22data%20governance%22%29&amp;geoUrn=%5B%22102454443%22%5D" TargetMode="External"/><Relationship Id="rId172" Type="http://schemas.openxmlformats.org/officeDocument/2006/relationships/hyperlink" Target="https://www.linkedin.com/search/results/people/?keywords=%22State%20Street%22%20AND%20%28%22head%20of%20data%22%20OR%20%22data%20engineering%20manager%22%20OR%20%22director%20of%20data%22%29&amp;geoUrn=%5B%22102454443%22%5D" TargetMode="External"/><Relationship Id="rId173" Type="http://schemas.openxmlformats.org/officeDocument/2006/relationships/hyperlink" Target="https://www.linkedin.com/search/results/people/?keywords=%22Visa%22%20AND%20%28%22head%20of%20data%22%20OR%20%22data%20engineering%20manager%22%20OR%20%22director%20of%20data%22%29&amp;geoUrn=%5B%22102454443%22%5D" TargetMode="External"/><Relationship Id="rId174" Type="http://schemas.openxmlformats.org/officeDocument/2006/relationships/hyperlink" Target="https://www.linkedin.com/search/results/people/?keywords=%22Mastercard%22%20AND%20%28%22head%20of%20data%22%20OR%20%22data%20engineering%20manager%22%20OR%20%22director%20of%20data%22%29&amp;geoUrn=%5B%22102454443%22%5D" TargetMode="External"/><Relationship Id="rId175" Type="http://schemas.openxmlformats.org/officeDocument/2006/relationships/hyperlink" Target="https://www.linkedin.com/search/results/people/?keywords=%22Applied%20Materials%22%20AND%20%28%22head%20of%20data%22%20OR%20%22data%20engineering%20manager%22%20OR%20%22director%20of%20data%22%29&amp;geoUrn=%5B%22102454443%22%5D" TargetMode="External"/><Relationship Id="rId176" Type="http://schemas.openxmlformats.org/officeDocument/2006/relationships/hyperlink" Target="https://www.linkedin.com/search/results/people/?keywords=%22SGX%20Group%22%20AND%20%28%22head%20of%20data%22%20OR%20%22data%20engineering%20manager%22%20OR%20%22director%20of%20data%22%29&amp;geoUrn=%5B%22102454443%22%5D" TargetMode="External"/><Relationship Id="rId177" Type="http://schemas.openxmlformats.org/officeDocument/2006/relationships/hyperlink" Target="https://www.linkedin.com/search/results/people/?keywords=%22Singapore%20Technologies%20Engineering%22%20AND%20%28%22head%20of%20data%22%20OR%20%22data%20engineering%20manager%22%20OR%20%22director%20of%20data%22%29&amp;geoUrn=%5B%22102454443%22%5D" TargetMode="External"/><Relationship Id="rId178" Type="http://schemas.openxmlformats.org/officeDocument/2006/relationships/hyperlink" Target="https://www.linkedin.com/search/results/people/?keywords=%22GIC%22%20AND%20%28%22head%20of%20data%22%20OR%20%22data%20engineering%20manager%22%20OR%20%22director%20of%20data%22%29&amp;geoUrn=%5B%22102454443%22%5D" TargetMode="External"/><Relationship Id="rId179" Type="http://schemas.openxmlformats.org/officeDocument/2006/relationships/hyperlink" Target="https://www.linkedin.com/search/results/people/?keywords=%22Hypotenuse%20AI%22%20AND%20%28CTO%20OR%20%22VP%20engineering%22%20OR%20%22head%20of%20engineering%22%29&amp;geoUrn=%5B%22102454443%22%5D" TargetMode="External"/><Relationship Id="rId180" Type="http://schemas.openxmlformats.org/officeDocument/2006/relationships/hyperlink" Target="https://www.linkedin.com/search/results/people/?keywords=%22Lenovo%22%20AND%20%28CTO%20OR%20%22VP%20engineering%22%20OR%20%22head%20of%20engineering%22%29&amp;geoUrn=%5B%22102454443%22%5D" TargetMode="External"/><Relationship Id="rId181" Type="http://schemas.openxmlformats.org/officeDocument/2006/relationships/hyperlink" Target="https://www.linkedin.com/search/results/people/?keywords=%22OPPO%22%20AND%20%28CTO%20OR%20%22VP%20engineering%22%20OR%20%22head%20of%20engineering%22%29&amp;geoUrn=%5B%22102454443%22%5D" TargetMode="External"/><Relationship Id="rId182" Type="http://schemas.openxmlformats.org/officeDocument/2006/relationships/hyperlink" Target="https://www.linkedin.com/search/results/people/?keywords=%22TokenPocket%22%20AND%20%28CISO%20OR%20%22head%20of%20security%22%20OR%20%22security%20engineering%22%29&amp;geoUrn=%5B%22102454443%22%5D" TargetMode="External"/><Relationship Id="rId183" Type="http://schemas.openxmlformats.org/officeDocument/2006/relationships/hyperlink" Target="https://www.linkedin.com/search/results/people/?keywords=%22Particle%20Network%22%20AND%20%28CISO%20OR%20%22head%20of%20security%22%20OR%20%22security%20engineering%22%29&amp;geoUrn=%5B%22102454443%22%5D" TargetMode="External"/><Relationship Id="rId184" Type="http://schemas.openxmlformats.org/officeDocument/2006/relationships/hyperlink" Target="https://www.linkedin.com/search/results/people/?keywords=%22Keenon%20Robotics%22%20AND%20%28CTO%20OR%20%22VP%20engineering%22%20OR%20%22head%20of%20engineering%22%29&amp;geoUrn=%5B%22102454443%22%5D" TargetMode="External"/><Relationship Id="rId185" Type="http://schemas.openxmlformats.org/officeDocument/2006/relationships/hyperlink" Target="https://www.linkedin.com/search/results/people/?keywords=%22Pudu%20Robotics%22%20AND%20%28CTO%20OR%20%22VP%20engineering%22%20OR%20%22head%20of%20engineering%22%29&amp;geoUrn=%5B%22102454443%22%5D" TargetMode="External"/><Relationship Id="rId186" Type="http://schemas.openxmlformats.org/officeDocument/2006/relationships/hyperlink" Target="https://www.linkedin.com/search/results/people/?keywords=%22Gaussian%20Robotics%22%20AND%20%28CTO%20OR%20%22VP%20engineering%22%20OR%20%22head%20of%20engineering%22%29&amp;geoUrn=%5B%22102454443%22%5D" TargetMode="External"/><Relationship Id="rId187" Type="http://schemas.openxmlformats.org/officeDocument/2006/relationships/hyperlink" Target="https://www.linkedin.com/search/results/people/?keywords=%22Siasun%20Robot%20%26%20Automation%22%20AND%20%28CTO%20OR%20%22VP%20engineering%22%20OR%20%22head%20of%20engineering%22%29&amp;geoUrn=%5B%22102454443%22%5D" TargetMode="External"/><Relationship Id="rId188" Type="http://schemas.openxmlformats.org/officeDocument/2006/relationships/hyperlink" Target="https://www.linkedin.com/search/results/people/?keywords=%22Lalamove%22%20AND%20%28%22head%20of%20data%22%20OR%20%22data%20engineering%20manager%22%20OR%20%22director%20of%20data%22%29&amp;geoUrn=%5B%22102454443%22%5D" TargetMode="External"/><Relationship Id="rId189" Type="http://schemas.openxmlformats.org/officeDocument/2006/relationships/hyperlink" Target="https://www.linkedin.com/search/results/people/?keywords=%22CHAGEE%22%20AND%20%28%22head%20of%20data%22%20OR%20%22data%20engineering%20manager%22%20OR%20%22director%20of%20data%22%29&amp;geoUrn=%5B%22102454443%22%5D" TargetMode="External"/><Relationship Id="rId190" Type="http://schemas.openxmlformats.org/officeDocument/2006/relationships/hyperlink" Target="https://www.linkedin.com/search/results/people/?keywords=%22Shanghai%20Pudong%20Development%20Bank%22%20AND%20%28%22AI%20governance%22%20OR%20%22responsible%20AI%22%20OR%20%22data%20governance%22%29&amp;geoUrn=%5B%22102454443%22%5D" TargetMode="External"/><Relationship Id="rId191" Type="http://schemas.openxmlformats.org/officeDocument/2006/relationships/hyperlink" Target="https://www.linkedin.com/search/results/people/?keywords=%22China%20CITIC%20Bank%20International%22%20AND%20%28%22AI%20governance%22%20OR%20%22responsible%20AI%22%20OR%20%22data%20governance%22%29&amp;geoUrn=%5B%22102454443%22%5D" TargetMode="External"/><Relationship Id="rId192" Type="http://schemas.openxmlformats.org/officeDocument/2006/relationships/hyperlink" Target="https://www.linkedin.com/search/results/people/?keywords=%22China%20Re%22%20AND%20%28%22AI%20governance%22%20OR%20%22responsible%20AI%22%20OR%20%22data%20governance%22%29&amp;geoUrn=%5B%22102454443%22%5D" TargetMode="External"/><Relationship Id="rId193" Type="http://schemas.openxmlformats.org/officeDocument/2006/relationships/hyperlink" Target="https://www.linkedin.com/search/results/people/?keywords=%22Chinasoft%20International%22%20AND%20%28%22head%20of%20data%22%20OR%20%22data%20engineering%20manager%22%20OR%20%22director%20of%20data%22%29&amp;geoUrn=%5B%22102454443%22%5D" TargetMode="External"/><Relationship Id="rId194" Type="http://schemas.openxmlformats.org/officeDocument/2006/relationships/hyperlink" Target="https://www.linkedin.com/search/results/people/?keywords=%22iSoftStone%22%20AND%20%28%22head%20of%20data%22%20OR%20%22data%20engineering%20manager%22%20OR%20%22director%20of%20data%22%29&amp;geoUrn=%5B%22102454443%22%5D" TargetMode="External"/><Relationship Id="rId195" Type="http://schemas.openxmlformats.org/officeDocument/2006/relationships/hyperlink" Target="https://www.linkedin.com/search/results/people/?keywords=%22DayOne%22%20AND%20%28CTO%20OR%20%22VP%20engineering%22%20OR%20%22head%20of%20engineering%22%29&amp;geoUrn=%5B%22102454443%22%5D" TargetMode="External"/><Relationship Id="rId196" Type="http://schemas.openxmlformats.org/officeDocument/2006/relationships/hyperlink" Target="https://www.linkedin.com/search/results/people/?keywords=%22OpenAI%22%20AND%20%28CISO%20OR%20%22head%20of%20security%22%20OR%20%22security%20engineering%22%29&amp;geoUrn=%5B%22102454443%22%5D" TargetMode="External"/><Relationship Id="rId197" Type="http://schemas.openxmlformats.org/officeDocument/2006/relationships/hyperlink" Target="https://www.linkedin.com/search/results/people/?keywords=%22Salesforce%20AI%20Research%22%20AND%20%28CTO%20OR%20%22VP%20engineering%22%20OR%20%22head%20of%20engineering%22%29&amp;geoUrn=%5B%22102454443%22%5D" TargetMode="External"/><Relationship Id="rId198" Type="http://schemas.openxmlformats.org/officeDocument/2006/relationships/hyperlink" Target="https://www.linkedin.com/search/results/people/?keywords=%22Mediacorp%22%20AND%20%28%22head%20of%20data%22%20OR%20%22data%20engineering%20manager%22%20OR%20%22director%20of%20data%22%29&amp;geoUrn=%5B%22102454443%22%5D" TargetMode="External"/><Relationship Id="rId199" Type="http://schemas.openxmlformats.org/officeDocument/2006/relationships/hyperlink" Target="https://www.linkedin.com/search/results/people/?keywords=%22GovTech%22%20AND%20%28%22head%20of%20data%22%20OR%20%22data%20engineering%20manager%22%20OR%20%22director%20of%20data%22%29&amp;geoUrn=%5B%22102454443%22%5D" TargetMode="External"/><Relationship Id="rId200" Type="http://schemas.openxmlformats.org/officeDocument/2006/relationships/hyperlink" Target="https://www.linkedin.com/search/results/people/?keywords=%22HTX%22%20AND%20%28CISO%20OR%20%22head%20of%20security%22%20OR%20%22security%20engineering%22%29&amp;geoUrn=%5B%22102454443%22%5D" TargetMode="External"/><Relationship Id="rId201" Type="http://schemas.openxmlformats.org/officeDocument/2006/relationships/hyperlink" Target="https://www.linkedin.com/search/results/people/?keywords=%22Cyber%20Security%20Agency%22%20AND%20%28%22AI%20governance%22%20OR%20%22responsible%20AI%22%20OR%20%22data%20governance%22%29&amp;geoUrn=%5B%22102454443%22%5D" TargetMode="External"/><Relationship Id="rId202" Type="http://schemas.openxmlformats.org/officeDocument/2006/relationships/hyperlink" Target="https://www.linkedin.com/search/results/people/?keywords=%22DSTA%22%20AND%20%28CISO%20OR%20%22head%20of%20security%22%20OR%20%22security%20engineering%22%29&amp;geoUrn=%5B%22102454443%22%5D" TargetMode="External"/><Relationship Id="rId203" Type="http://schemas.openxmlformats.org/officeDocument/2006/relationships/hyperlink" Target="https://www.linkedin.com/search/results/people/?keywords=%28%22IMDA%22%20OR%20%22AI%20Verify%20Foundation%22%29%20AND%20%28%22AI%20governance%22%20OR%20%22responsible%20AI%22%20OR%20%22data%20governance%22%29&amp;geoUrn=%5B%22102454443%22%5D" TargetMode="External"/><Relationship Id="rId204" Type="http://schemas.openxmlformats.org/officeDocument/2006/relationships/hyperlink" Target="https://www.linkedin.com/search/results/people/?keywords=%22Temasek%22%20AND%20%28%22head%20of%20data%22%20OR%20%22data%20engineering%20manager%22%20OR%20%22director%20of%20data%22%29&amp;geoUrn=%5B%22102454443%22%5D" TargetMode="External"/><Relationship Id="rId205"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drawing" Target="../drawings/drawing4.xml"/>
</Relationships>
</file>

<file path=xl/worksheets/_rels/sheet12.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32.8"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23.85" hidden="false" customHeight="false" outlineLevel="0" collapsed="false">
      <c r="A5" s="3" t="s">
        <v>3</v>
      </c>
    </row>
    <row r="6" customFormat="false" ht="49.25" hidden="false" customHeight="false" outlineLevel="0" collapsed="false">
      <c r="A6" s="3" t="s">
        <v>4</v>
      </c>
    </row>
    <row r="7" customFormat="false" ht="23.85" hidden="false" customHeight="false" outlineLevel="0" collapsed="false">
      <c r="A7" s="3" t="s">
        <v>5</v>
      </c>
    </row>
    <row r="8" customFormat="false" ht="15" hidden="false" customHeight="false" outlineLevel="0" collapsed="false">
      <c r="A8" s="3" t="s">
        <v>6</v>
      </c>
    </row>
    <row r="9" customFormat="false" ht="25.35" hidden="false" customHeight="false" outlineLevel="0" collapsed="false">
      <c r="A9" s="3" t="s">
        <v>7</v>
      </c>
    </row>
    <row r="10" customFormat="false" ht="15" hidden="false" customHeight="false" outlineLevel="0" collapsed="false">
      <c r="A10" s="3"/>
    </row>
    <row r="11" customFormat="false" ht="15" hidden="false" customHeight="false" outlineLevel="0" collapsed="false">
      <c r="A11" s="4" t="s">
        <v>8</v>
      </c>
    </row>
    <row r="12" customFormat="false" ht="35.05" hidden="false" customHeight="false" outlineLevel="0" collapsed="false">
      <c r="A12" s="3" t="s">
        <v>9</v>
      </c>
    </row>
    <row r="13" customFormat="false" ht="35.05" hidden="false" customHeight="false" outlineLevel="0" collapsed="false">
      <c r="A13" s="3" t="s">
        <v>10</v>
      </c>
    </row>
    <row r="14" customFormat="false" ht="23.85" hidden="false" customHeight="false" outlineLevel="0" collapsed="false">
      <c r="A14" s="3" t="s">
        <v>11</v>
      </c>
    </row>
    <row r="15" customFormat="false" ht="23.85" hidden="false" customHeight="false" outlineLevel="0" collapsed="false">
      <c r="A15" s="3" t="s">
        <v>12</v>
      </c>
    </row>
    <row r="16" customFormat="false" ht="15" hidden="false" customHeight="false" outlineLevel="0" collapsed="false">
      <c r="A16" s="3" t="s">
        <v>13</v>
      </c>
    </row>
    <row r="17" customFormat="false" ht="15" hidden="false" customHeight="false" outlineLevel="0" collapsed="false">
      <c r="A17" s="3"/>
    </row>
    <row r="18" customFormat="false" ht="15" hidden="false" customHeight="false" outlineLevel="0" collapsed="false">
      <c r="A18" s="4" t="s">
        <v>14</v>
      </c>
    </row>
    <row r="19" customFormat="false" ht="15" hidden="false" customHeight="false" outlineLevel="0" collapsed="false">
      <c r="A19" s="3" t="s">
        <v>15</v>
      </c>
    </row>
    <row r="20" customFormat="false" ht="23.85" hidden="false" customHeight="false" outlineLevel="0" collapsed="false">
      <c r="A20" s="3" t="s">
        <v>16</v>
      </c>
    </row>
    <row r="21" customFormat="false" ht="15" hidden="false" customHeight="false" outlineLevel="0" collapsed="false">
      <c r="A21" s="3" t="s">
        <v>17</v>
      </c>
    </row>
    <row r="22" customFormat="false" ht="23.85" hidden="false" customHeight="false" outlineLevel="0" collapsed="false">
      <c r="A22" s="3" t="s">
        <v>18</v>
      </c>
    </row>
    <row r="23" customFormat="false" ht="15" hidden="false" customHeight="false" outlineLevel="0" collapsed="false">
      <c r="A23" s="3"/>
    </row>
    <row r="24" customFormat="false" ht="15" hidden="false" customHeight="false" outlineLevel="0" collapsed="false">
      <c r="A24" s="4" t="s">
        <v>19</v>
      </c>
    </row>
    <row r="25" customFormat="false" ht="23.85" hidden="false" customHeight="false" outlineLevel="0" collapsed="false">
      <c r="A25" s="3" t="s">
        <v>20</v>
      </c>
    </row>
    <row r="26" customFormat="false" ht="23.85" hidden="false" customHeight="false" outlineLevel="0" collapsed="false">
      <c r="A26" s="3" t="s">
        <v>21</v>
      </c>
    </row>
    <row r="27" customFormat="false" ht="23.85" hidden="false" customHeight="false" outlineLevel="0" collapsed="false">
      <c r="A27" s="3" t="s">
        <v>22</v>
      </c>
    </row>
    <row r="28" customFormat="false" ht="15" hidden="false" customHeight="false" outlineLevel="0" collapsed="false">
      <c r="A28" s="3" t="s">
        <v>23</v>
      </c>
    </row>
    <row r="29" customFormat="false" ht="15" hidden="false" customHeight="false" outlineLevel="0" collapsed="false">
      <c r="A29" s="3" t="s">
        <v>24</v>
      </c>
    </row>
    <row r="30" customFormat="false" ht="15" hidden="false" customHeight="false" outlineLevel="0" collapsed="false">
      <c r="A30" s="3"/>
    </row>
    <row r="31" customFormat="false" ht="15" hidden="false" customHeight="false" outlineLevel="0" collapsed="false">
      <c r="A31" s="4" t="s">
        <v>25</v>
      </c>
    </row>
    <row r="32" customFormat="false" ht="35.05" hidden="false" customHeight="false" outlineLevel="0" collapsed="false">
      <c r="A32" s="3"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17.35" hidden="false" customHeight="false" outlineLevel="0" collapsed="false">
      <c r="A1" s="5" t="s">
        <v>27</v>
      </c>
    </row>
    <row r="3" customFormat="false" ht="15" hidden="false" customHeight="false" outlineLevel="0" collapsed="false">
      <c r="A3" s="6" t="s">
        <v>28</v>
      </c>
      <c r="B3" s="7"/>
    </row>
    <row r="4" customFormat="false" ht="23.85" hidden="false" customHeight="false" outlineLevel="0" collapsed="false">
      <c r="A4" s="8" t="s">
        <v>29</v>
      </c>
      <c r="B4" s="3" t="s">
        <v>30</v>
      </c>
    </row>
    <row r="5" customFormat="false" ht="15" hidden="false" customHeight="false" outlineLevel="0" collapsed="false">
      <c r="A5" s="8" t="s">
        <v>31</v>
      </c>
      <c r="B5" s="3" t="s">
        <v>32</v>
      </c>
    </row>
    <row r="6" customFormat="false" ht="23.85" hidden="false" customHeight="false" outlineLevel="0" collapsed="false">
      <c r="A6" s="8" t="s">
        <v>33</v>
      </c>
      <c r="B6" s="3" t="s">
        <v>34</v>
      </c>
    </row>
    <row r="7" customFormat="false" ht="15" hidden="false" customHeight="false" outlineLevel="0" collapsed="false">
      <c r="A7" s="6" t="s">
        <v>35</v>
      </c>
      <c r="B7" s="7"/>
    </row>
    <row r="8" customFormat="false" ht="23.85" hidden="false" customHeight="false" outlineLevel="0" collapsed="false">
      <c r="A8" s="8" t="s">
        <v>36</v>
      </c>
      <c r="B8" s="3" t="s">
        <v>37</v>
      </c>
    </row>
    <row r="9" customFormat="false" ht="23.85" hidden="false" customHeight="false" outlineLevel="0" collapsed="false">
      <c r="A9" s="8" t="s">
        <v>38</v>
      </c>
      <c r="B9" s="3" t="s">
        <v>39</v>
      </c>
    </row>
    <row r="10" customFormat="false" ht="23.85" hidden="false" customHeight="false" outlineLevel="0" collapsed="false">
      <c r="A10" s="8" t="s">
        <v>40</v>
      </c>
      <c r="B10" s="3" t="s">
        <v>41</v>
      </c>
    </row>
    <row r="11" customFormat="false" ht="23.85" hidden="false" customHeight="false" outlineLevel="0" collapsed="false">
      <c r="A11" s="8" t="s">
        <v>42</v>
      </c>
      <c r="B11" s="3" t="s">
        <v>43</v>
      </c>
    </row>
    <row r="12" customFormat="false" ht="15" hidden="false" customHeight="false" outlineLevel="0" collapsed="false">
      <c r="A12" s="6" t="s">
        <v>44</v>
      </c>
      <c r="B12" s="7"/>
    </row>
    <row r="13" customFormat="false" ht="23.85" hidden="false" customHeight="false" outlineLevel="0" collapsed="false">
      <c r="A13" s="8" t="s">
        <v>45</v>
      </c>
      <c r="B13" s="3" t="s">
        <v>46</v>
      </c>
    </row>
    <row r="14" customFormat="false" ht="23.85" hidden="false" customHeight="false" outlineLevel="0" collapsed="false">
      <c r="A14" s="8" t="s">
        <v>47</v>
      </c>
      <c r="B14" s="3" t="s">
        <v>48</v>
      </c>
    </row>
    <row r="15" customFormat="false" ht="23.85" hidden="false" customHeight="false" outlineLevel="0" collapsed="false">
      <c r="A15" s="8" t="s">
        <v>49</v>
      </c>
      <c r="B15" s="3" t="s">
        <v>50</v>
      </c>
    </row>
    <row r="16" customFormat="false" ht="35.05" hidden="false" customHeight="false" outlineLevel="0" collapsed="false">
      <c r="A16" s="8" t="s">
        <v>51</v>
      </c>
      <c r="B16" s="3" t="s">
        <v>52</v>
      </c>
    </row>
    <row r="17" customFormat="false" ht="15" hidden="false" customHeight="false" outlineLevel="0" collapsed="false">
      <c r="A17" s="8" t="s">
        <v>53</v>
      </c>
      <c r="B17" s="3" t="s">
        <v>54</v>
      </c>
    </row>
    <row r="18" customFormat="false" ht="15" hidden="false" customHeight="false" outlineLevel="0" collapsed="false">
      <c r="A18" s="6" t="s">
        <v>55</v>
      </c>
      <c r="B18" s="7"/>
    </row>
    <row r="19" customFormat="false" ht="23.85" hidden="false" customHeight="false" outlineLevel="0" collapsed="false">
      <c r="A19" s="8" t="s">
        <v>56</v>
      </c>
      <c r="B19" s="3"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16"/>
    <col collapsed="false" customWidth="true" hidden="false" outlineLevel="0" max="4" min="4" style="0" width="24"/>
    <col collapsed="false" customWidth="true" hidden="false" outlineLevel="0" max="5" min="5" style="0" width="9"/>
    <col collapsed="false" customWidth="true" hidden="false" outlineLevel="0" max="6" min="6" style="0" width="34"/>
    <col collapsed="false" customWidth="true" hidden="false" outlineLevel="0" max="8" min="7" style="0" width="7"/>
    <col collapsed="false" customWidth="true" hidden="false" outlineLevel="0" max="9" min="9" style="0" width="8"/>
    <col collapsed="false" customWidth="true" hidden="false" outlineLevel="0" max="11" min="10" style="0" width="7"/>
    <col collapsed="false" customWidth="true" hidden="false" outlineLevel="0" max="12" min="12" style="0" width="20"/>
    <col collapsed="false" customWidth="true" hidden="false" outlineLevel="0" max="13" min="13" style="0" width="48"/>
    <col collapsed="false" customWidth="true" hidden="false" outlineLevel="0" max="14" min="14" style="0" width="44"/>
    <col collapsed="false" customWidth="true" hidden="false" outlineLevel="0" max="16" min="15" style="0" width="11"/>
    <col collapsed="false" customWidth="true" hidden="false" outlineLevel="0" max="17" min="17" style="0" width="26"/>
    <col collapsed="false" customWidth="true" hidden="false" outlineLevel="0" max="18" min="18" style="0" width="8"/>
    <col collapsed="false" customWidth="true" hidden="false" outlineLevel="0" max="19" min="19" style="0" width="36"/>
    <col collapsed="false" customWidth="true" hidden="false" outlineLevel="0" max="20" min="20" style="0" width="14"/>
    <col collapsed="false" customWidth="true" hidden="false" outlineLevel="0" max="21" min="21" style="0" width="30"/>
  </cols>
  <sheetData>
    <row r="1" customFormat="false" ht="17.35" hidden="false" customHeight="false" outlineLevel="0" collapsed="false">
      <c r="A1" s="5" t="s">
        <v>58</v>
      </c>
    </row>
    <row r="2" customFormat="false" ht="30" hidden="false" customHeight="true" outlineLevel="0" collapsed="false">
      <c r="A2" s="9" t="s">
        <v>59</v>
      </c>
      <c r="B2" s="9"/>
      <c r="C2" s="9"/>
      <c r="D2" s="9"/>
      <c r="E2" s="9"/>
      <c r="F2" s="9"/>
      <c r="G2" s="9"/>
      <c r="H2" s="9"/>
      <c r="I2" s="9"/>
      <c r="J2" s="9"/>
      <c r="K2" s="9"/>
      <c r="L2" s="9"/>
      <c r="M2" s="9"/>
      <c r="N2" s="9"/>
      <c r="O2" s="9"/>
      <c r="P2" s="9"/>
      <c r="Q2" s="9"/>
      <c r="R2" s="9"/>
      <c r="S2" s="9"/>
      <c r="T2" s="9"/>
      <c r="U2" s="9"/>
    </row>
    <row r="4" customFormat="false" ht="31.5" hidden="false" customHeight="true" outlineLevel="0" collapsed="false">
      <c r="A4" s="10" t="s">
        <v>60</v>
      </c>
      <c r="B4" s="10" t="s">
        <v>61</v>
      </c>
      <c r="C4" s="10" t="s">
        <v>62</v>
      </c>
      <c r="D4" s="10" t="s">
        <v>63</v>
      </c>
      <c r="E4" s="10" t="s">
        <v>64</v>
      </c>
      <c r="F4" s="10" t="s">
        <v>65</v>
      </c>
      <c r="G4" s="10" t="s">
        <v>66</v>
      </c>
      <c r="H4" s="10" t="s">
        <v>67</v>
      </c>
      <c r="I4" s="10" t="s">
        <v>68</v>
      </c>
      <c r="J4" s="10" t="s">
        <v>69</v>
      </c>
      <c r="K4" s="10" t="s">
        <v>70</v>
      </c>
      <c r="L4" s="10" t="s">
        <v>71</v>
      </c>
      <c r="M4" s="10" t="s">
        <v>72</v>
      </c>
      <c r="N4" s="10" t="s">
        <v>73</v>
      </c>
      <c r="O4" s="10" t="s">
        <v>74</v>
      </c>
      <c r="P4" s="10" t="s">
        <v>75</v>
      </c>
      <c r="Q4" s="10" t="s">
        <v>76</v>
      </c>
      <c r="R4" s="10" t="s">
        <v>77</v>
      </c>
      <c r="S4" s="10" t="s">
        <v>78</v>
      </c>
      <c r="T4" s="10" t="s">
        <v>79</v>
      </c>
      <c r="U4" s="10" t="s">
        <v>80</v>
      </c>
    </row>
    <row r="5" customFormat="false" ht="46.25" hidden="false" customHeight="false" outlineLevel="0" collapsed="false">
      <c r="A5" s="11" t="n">
        <v>1</v>
      </c>
      <c r="B5" s="12" t="s">
        <v>81</v>
      </c>
      <c r="C5" s="13" t="s">
        <v>82</v>
      </c>
      <c r="D5" s="14" t="s">
        <v>83</v>
      </c>
      <c r="E5" s="11" t="s">
        <v>84</v>
      </c>
      <c r="F5" s="13" t="s">
        <v>85</v>
      </c>
      <c r="G5" s="11" t="s">
        <v>86</v>
      </c>
      <c r="H5" s="11" t="s">
        <v>87</v>
      </c>
      <c r="I5" s="11"/>
      <c r="J5" s="11"/>
      <c r="K5" s="11" t="s">
        <v>86</v>
      </c>
      <c r="L5" s="13" t="s">
        <v>88</v>
      </c>
      <c r="M5" s="13" t="s">
        <v>89</v>
      </c>
      <c r="N5" s="13" t="s">
        <v>90</v>
      </c>
      <c r="O5" s="11" t="s">
        <v>91</v>
      </c>
      <c r="P5" s="11" t="s">
        <v>92</v>
      </c>
      <c r="Q5" s="13" t="s">
        <v>93</v>
      </c>
      <c r="R5" s="15" t="s">
        <v>94</v>
      </c>
      <c r="S5" s="13"/>
      <c r="T5" s="16" t="s">
        <v>95</v>
      </c>
      <c r="U5" s="16"/>
    </row>
    <row r="6" customFormat="false" ht="46.25" hidden="false" customHeight="false" outlineLevel="0" collapsed="false">
      <c r="A6" s="11" t="n">
        <v>2</v>
      </c>
      <c r="B6" s="12" t="s">
        <v>96</v>
      </c>
      <c r="C6" s="17" t="s">
        <v>97</v>
      </c>
      <c r="D6" s="14" t="s">
        <v>83</v>
      </c>
      <c r="E6" s="11" t="s">
        <v>84</v>
      </c>
      <c r="F6" s="13" t="s">
        <v>98</v>
      </c>
      <c r="G6" s="11" t="s">
        <v>87</v>
      </c>
      <c r="H6" s="11"/>
      <c r="I6" s="11" t="s">
        <v>86</v>
      </c>
      <c r="J6" s="11"/>
      <c r="K6" s="11" t="s">
        <v>86</v>
      </c>
      <c r="L6" s="13" t="s">
        <v>99</v>
      </c>
      <c r="M6" s="13" t="s">
        <v>100</v>
      </c>
      <c r="N6" s="13" t="s">
        <v>101</v>
      </c>
      <c r="O6" s="11" t="s">
        <v>91</v>
      </c>
      <c r="P6" s="11" t="s">
        <v>92</v>
      </c>
      <c r="Q6" s="13" t="s">
        <v>102</v>
      </c>
      <c r="R6" s="15" t="s">
        <v>94</v>
      </c>
      <c r="S6" s="13"/>
      <c r="T6" s="16" t="s">
        <v>95</v>
      </c>
      <c r="U6" s="16"/>
    </row>
    <row r="7" customFormat="false" ht="35.05" hidden="false" customHeight="false" outlineLevel="0" collapsed="false">
      <c r="A7" s="11" t="n">
        <v>3</v>
      </c>
      <c r="B7" s="12" t="s">
        <v>103</v>
      </c>
      <c r="C7" s="13" t="s">
        <v>103</v>
      </c>
      <c r="D7" s="14" t="s">
        <v>83</v>
      </c>
      <c r="E7" s="11" t="s">
        <v>104</v>
      </c>
      <c r="F7" s="13" t="s">
        <v>105</v>
      </c>
      <c r="G7" s="11" t="s">
        <v>86</v>
      </c>
      <c r="H7" s="11"/>
      <c r="I7" s="11"/>
      <c r="J7" s="11"/>
      <c r="K7" s="11" t="s">
        <v>86</v>
      </c>
      <c r="L7" s="13" t="s">
        <v>106</v>
      </c>
      <c r="M7" s="13" t="s">
        <v>107</v>
      </c>
      <c r="N7" s="13" t="s">
        <v>108</v>
      </c>
      <c r="O7" s="11" t="s">
        <v>91</v>
      </c>
      <c r="P7" s="11" t="s">
        <v>92</v>
      </c>
      <c r="Q7" s="13" t="s">
        <v>109</v>
      </c>
      <c r="R7" s="15" t="s">
        <v>94</v>
      </c>
      <c r="S7" s="13"/>
      <c r="T7" s="16" t="s">
        <v>95</v>
      </c>
      <c r="U7" s="16"/>
    </row>
    <row r="8" customFormat="false" ht="35.05" hidden="false" customHeight="false" outlineLevel="0" collapsed="false">
      <c r="A8" s="11" t="n">
        <v>4</v>
      </c>
      <c r="B8" s="12" t="s">
        <v>110</v>
      </c>
      <c r="C8" s="13" t="s">
        <v>111</v>
      </c>
      <c r="D8" s="14" t="s">
        <v>83</v>
      </c>
      <c r="E8" s="11" t="s">
        <v>112</v>
      </c>
      <c r="F8" s="13" t="s">
        <v>113</v>
      </c>
      <c r="G8" s="11" t="s">
        <v>86</v>
      </c>
      <c r="H8" s="11" t="s">
        <v>86</v>
      </c>
      <c r="I8" s="11"/>
      <c r="J8" s="11"/>
      <c r="K8" s="11" t="s">
        <v>86</v>
      </c>
      <c r="L8" s="13" t="s">
        <v>114</v>
      </c>
      <c r="M8" s="13" t="s">
        <v>115</v>
      </c>
      <c r="N8" s="13" t="s">
        <v>116</v>
      </c>
      <c r="O8" s="11" t="s">
        <v>91</v>
      </c>
      <c r="P8" s="11" t="s">
        <v>92</v>
      </c>
      <c r="Q8" s="13" t="s">
        <v>117</v>
      </c>
      <c r="R8" s="15" t="s">
        <v>94</v>
      </c>
      <c r="S8" s="13"/>
      <c r="T8" s="16" t="s">
        <v>95</v>
      </c>
      <c r="U8" s="16"/>
    </row>
    <row r="9" customFormat="false" ht="46.25" hidden="false" customHeight="false" outlineLevel="0" collapsed="false">
      <c r="A9" s="11" t="n">
        <v>5</v>
      </c>
      <c r="B9" s="12" t="s">
        <v>118</v>
      </c>
      <c r="C9" s="17" t="s">
        <v>119</v>
      </c>
      <c r="D9" s="14" t="s">
        <v>83</v>
      </c>
      <c r="E9" s="11" t="s">
        <v>84</v>
      </c>
      <c r="F9" s="13" t="s">
        <v>120</v>
      </c>
      <c r="G9" s="11" t="s">
        <v>87</v>
      </c>
      <c r="H9" s="11"/>
      <c r="I9" s="11" t="s">
        <v>86</v>
      </c>
      <c r="J9" s="11"/>
      <c r="K9" s="11" t="s">
        <v>86</v>
      </c>
      <c r="L9" s="13" t="s">
        <v>121</v>
      </c>
      <c r="M9" s="13" t="s">
        <v>122</v>
      </c>
      <c r="N9" s="13" t="s">
        <v>123</v>
      </c>
      <c r="O9" s="11" t="s">
        <v>124</v>
      </c>
      <c r="P9" s="11" t="s">
        <v>92</v>
      </c>
      <c r="Q9" s="13" t="s">
        <v>125</v>
      </c>
      <c r="R9" s="15" t="s">
        <v>94</v>
      </c>
      <c r="S9" s="13"/>
      <c r="T9" s="16" t="s">
        <v>95</v>
      </c>
      <c r="U9" s="16"/>
    </row>
    <row r="10" customFormat="false" ht="46.25" hidden="false" customHeight="false" outlineLevel="0" collapsed="false">
      <c r="A10" s="11" t="n">
        <v>6</v>
      </c>
      <c r="B10" s="12" t="s">
        <v>126</v>
      </c>
      <c r="C10" s="13" t="s">
        <v>127</v>
      </c>
      <c r="D10" s="14" t="s">
        <v>83</v>
      </c>
      <c r="E10" s="11" t="s">
        <v>84</v>
      </c>
      <c r="F10" s="13" t="s">
        <v>128</v>
      </c>
      <c r="G10" s="11" t="s">
        <v>86</v>
      </c>
      <c r="H10" s="11"/>
      <c r="I10" s="11" t="s">
        <v>87</v>
      </c>
      <c r="J10" s="11"/>
      <c r="K10" s="11" t="s">
        <v>86</v>
      </c>
      <c r="L10" s="13" t="s">
        <v>129</v>
      </c>
      <c r="M10" s="13" t="s">
        <v>130</v>
      </c>
      <c r="N10" s="13" t="s">
        <v>131</v>
      </c>
      <c r="O10" s="11" t="s">
        <v>124</v>
      </c>
      <c r="P10" s="11" t="s">
        <v>132</v>
      </c>
      <c r="Q10" s="13" t="s">
        <v>133</v>
      </c>
      <c r="R10" s="15" t="s">
        <v>94</v>
      </c>
      <c r="S10" s="13"/>
      <c r="T10" s="16" t="s">
        <v>95</v>
      </c>
      <c r="U10" s="16"/>
    </row>
    <row r="11" customFormat="false" ht="35.05" hidden="false" customHeight="false" outlineLevel="0" collapsed="false">
      <c r="A11" s="11" t="n">
        <v>7</v>
      </c>
      <c r="B11" s="12" t="s">
        <v>134</v>
      </c>
      <c r="C11" s="13" t="s">
        <v>134</v>
      </c>
      <c r="D11" s="14" t="s">
        <v>83</v>
      </c>
      <c r="E11" s="11" t="s">
        <v>104</v>
      </c>
      <c r="F11" s="13" t="s">
        <v>135</v>
      </c>
      <c r="G11" s="11"/>
      <c r="H11" s="11"/>
      <c r="I11" s="11" t="s">
        <v>86</v>
      </c>
      <c r="J11" s="11"/>
      <c r="K11" s="11" t="s">
        <v>86</v>
      </c>
      <c r="L11" s="13" t="s">
        <v>136</v>
      </c>
      <c r="M11" s="13" t="s">
        <v>137</v>
      </c>
      <c r="N11" s="13" t="s">
        <v>138</v>
      </c>
      <c r="O11" s="11" t="s">
        <v>124</v>
      </c>
      <c r="P11" s="11" t="s">
        <v>92</v>
      </c>
      <c r="Q11" s="13" t="s">
        <v>139</v>
      </c>
      <c r="R11" s="15" t="s">
        <v>94</v>
      </c>
      <c r="S11" s="13"/>
      <c r="T11" s="16" t="s">
        <v>95</v>
      </c>
      <c r="U11" s="16"/>
    </row>
    <row r="12" customFormat="false" ht="35.05" hidden="false" customHeight="false" outlineLevel="0" collapsed="false">
      <c r="A12" s="11" t="n">
        <v>8</v>
      </c>
      <c r="B12" s="12" t="s">
        <v>140</v>
      </c>
      <c r="C12" s="17" t="s">
        <v>141</v>
      </c>
      <c r="D12" s="14" t="s">
        <v>83</v>
      </c>
      <c r="E12" s="11" t="s">
        <v>84</v>
      </c>
      <c r="F12" s="13" t="s">
        <v>142</v>
      </c>
      <c r="G12" s="11" t="s">
        <v>86</v>
      </c>
      <c r="H12" s="11" t="s">
        <v>86</v>
      </c>
      <c r="I12" s="11"/>
      <c r="J12" s="11"/>
      <c r="K12" s="11" t="s">
        <v>86</v>
      </c>
      <c r="L12" s="13" t="s">
        <v>143</v>
      </c>
      <c r="M12" s="13" t="s">
        <v>144</v>
      </c>
      <c r="N12" s="13" t="s">
        <v>145</v>
      </c>
      <c r="O12" s="11" t="s">
        <v>124</v>
      </c>
      <c r="P12" s="11" t="s">
        <v>92</v>
      </c>
      <c r="Q12" s="13" t="s">
        <v>146</v>
      </c>
      <c r="R12" s="15" t="s">
        <v>94</v>
      </c>
      <c r="S12" s="13"/>
      <c r="T12" s="16" t="s">
        <v>95</v>
      </c>
      <c r="U12" s="16"/>
    </row>
    <row r="13" customFormat="false" ht="35.05" hidden="false" customHeight="false" outlineLevel="0" collapsed="false">
      <c r="A13" s="11" t="n">
        <v>9</v>
      </c>
      <c r="B13" s="12" t="s">
        <v>147</v>
      </c>
      <c r="C13" s="13" t="s">
        <v>147</v>
      </c>
      <c r="D13" s="14" t="s">
        <v>83</v>
      </c>
      <c r="E13" s="11" t="s">
        <v>84</v>
      </c>
      <c r="F13" s="13" t="s">
        <v>148</v>
      </c>
      <c r="G13" s="11" t="s">
        <v>86</v>
      </c>
      <c r="H13" s="11"/>
      <c r="I13" s="11"/>
      <c r="J13" s="11"/>
      <c r="K13" s="11" t="s">
        <v>86</v>
      </c>
      <c r="L13" s="13" t="s">
        <v>149</v>
      </c>
      <c r="M13" s="13" t="s">
        <v>150</v>
      </c>
      <c r="N13" s="13" t="s">
        <v>151</v>
      </c>
      <c r="O13" s="11" t="s">
        <v>152</v>
      </c>
      <c r="P13" s="11" t="s">
        <v>92</v>
      </c>
      <c r="Q13" s="13" t="s">
        <v>153</v>
      </c>
      <c r="R13" s="15" t="s">
        <v>94</v>
      </c>
      <c r="S13" s="13"/>
      <c r="T13" s="16" t="s">
        <v>95</v>
      </c>
      <c r="U13" s="16"/>
    </row>
    <row r="14" customFormat="false" ht="46.25" hidden="false" customHeight="false" outlineLevel="0" collapsed="false">
      <c r="A14" s="11" t="n">
        <v>10</v>
      </c>
      <c r="B14" s="12" t="s">
        <v>154</v>
      </c>
      <c r="C14" s="13" t="s">
        <v>155</v>
      </c>
      <c r="D14" s="14" t="s">
        <v>83</v>
      </c>
      <c r="E14" s="11" t="s">
        <v>104</v>
      </c>
      <c r="F14" s="13" t="s">
        <v>156</v>
      </c>
      <c r="G14" s="11" t="s">
        <v>86</v>
      </c>
      <c r="H14" s="11"/>
      <c r="I14" s="11" t="s">
        <v>87</v>
      </c>
      <c r="J14" s="11"/>
      <c r="K14" s="11" t="s">
        <v>86</v>
      </c>
      <c r="L14" s="13" t="s">
        <v>157</v>
      </c>
      <c r="M14" s="13" t="s">
        <v>158</v>
      </c>
      <c r="N14" s="13" t="s">
        <v>159</v>
      </c>
      <c r="O14" s="11" t="s">
        <v>152</v>
      </c>
      <c r="P14" s="11" t="s">
        <v>132</v>
      </c>
      <c r="Q14" s="13" t="s">
        <v>160</v>
      </c>
      <c r="R14" s="15" t="s">
        <v>94</v>
      </c>
      <c r="S14" s="13"/>
      <c r="T14" s="16" t="s">
        <v>95</v>
      </c>
      <c r="U14" s="16"/>
    </row>
    <row r="15" customFormat="false" ht="35.05" hidden="false" customHeight="false" outlineLevel="0" collapsed="false">
      <c r="A15" s="11" t="n">
        <v>11</v>
      </c>
      <c r="B15" s="12" t="s">
        <v>161</v>
      </c>
      <c r="C15" s="13" t="s">
        <v>161</v>
      </c>
      <c r="D15" s="14" t="s">
        <v>83</v>
      </c>
      <c r="E15" s="11" t="s">
        <v>84</v>
      </c>
      <c r="F15" s="13" t="s">
        <v>162</v>
      </c>
      <c r="G15" s="11" t="s">
        <v>87</v>
      </c>
      <c r="H15" s="11"/>
      <c r="I15" s="11"/>
      <c r="J15" s="11"/>
      <c r="K15" s="11" t="s">
        <v>86</v>
      </c>
      <c r="L15" s="13" t="s">
        <v>163</v>
      </c>
      <c r="M15" s="13" t="s">
        <v>164</v>
      </c>
      <c r="N15" s="13" t="s">
        <v>165</v>
      </c>
      <c r="O15" s="11" t="s">
        <v>152</v>
      </c>
      <c r="P15" s="11" t="s">
        <v>166</v>
      </c>
      <c r="Q15" s="13" t="s">
        <v>167</v>
      </c>
      <c r="R15" s="15" t="s">
        <v>94</v>
      </c>
      <c r="S15" s="13"/>
      <c r="T15" s="16" t="s">
        <v>95</v>
      </c>
      <c r="U15" s="16"/>
    </row>
    <row r="16" customFormat="false" ht="35.05" hidden="false" customHeight="false" outlineLevel="0" collapsed="false">
      <c r="A16" s="11" t="n">
        <v>12</v>
      </c>
      <c r="B16" s="12" t="s">
        <v>168</v>
      </c>
      <c r="C16" s="17" t="s">
        <v>169</v>
      </c>
      <c r="D16" s="14" t="s">
        <v>83</v>
      </c>
      <c r="E16" s="11" t="s">
        <v>84</v>
      </c>
      <c r="F16" s="13" t="s">
        <v>170</v>
      </c>
      <c r="G16" s="11" t="s">
        <v>86</v>
      </c>
      <c r="H16" s="11" t="s">
        <v>87</v>
      </c>
      <c r="I16" s="11"/>
      <c r="J16" s="11"/>
      <c r="K16" s="11" t="s">
        <v>86</v>
      </c>
      <c r="L16" s="13" t="s">
        <v>171</v>
      </c>
      <c r="M16" s="13" t="s">
        <v>172</v>
      </c>
      <c r="N16" s="13" t="s">
        <v>173</v>
      </c>
      <c r="O16" s="11" t="s">
        <v>152</v>
      </c>
      <c r="P16" s="11" t="s">
        <v>166</v>
      </c>
      <c r="Q16" s="13" t="s">
        <v>174</v>
      </c>
      <c r="R16" s="15" t="s">
        <v>94</v>
      </c>
      <c r="S16" s="13"/>
      <c r="T16" s="16" t="s">
        <v>95</v>
      </c>
      <c r="U16" s="16"/>
    </row>
    <row r="17" customFormat="false" ht="35.05" hidden="false" customHeight="false" outlineLevel="0" collapsed="false">
      <c r="A17" s="11" t="n">
        <v>13</v>
      </c>
      <c r="B17" s="12" t="s">
        <v>175</v>
      </c>
      <c r="C17" s="13" t="s">
        <v>175</v>
      </c>
      <c r="D17" s="14" t="s">
        <v>83</v>
      </c>
      <c r="E17" s="11" t="s">
        <v>84</v>
      </c>
      <c r="F17" s="13" t="s">
        <v>176</v>
      </c>
      <c r="G17" s="11" t="s">
        <v>86</v>
      </c>
      <c r="H17" s="11" t="s">
        <v>87</v>
      </c>
      <c r="I17" s="11"/>
      <c r="J17" s="11"/>
      <c r="K17" s="11" t="s">
        <v>86</v>
      </c>
      <c r="L17" s="13" t="s">
        <v>177</v>
      </c>
      <c r="M17" s="13" t="s">
        <v>178</v>
      </c>
      <c r="N17" s="13" t="s">
        <v>179</v>
      </c>
      <c r="O17" s="11" t="s">
        <v>152</v>
      </c>
      <c r="P17" s="11" t="s">
        <v>132</v>
      </c>
      <c r="Q17" s="13" t="s">
        <v>180</v>
      </c>
      <c r="R17" s="15" t="s">
        <v>94</v>
      </c>
      <c r="S17" s="13"/>
      <c r="T17" s="16" t="s">
        <v>95</v>
      </c>
      <c r="U17" s="16"/>
    </row>
    <row r="18" customFormat="false" ht="23.85" hidden="false" customHeight="false" outlineLevel="0" collapsed="false">
      <c r="A18" s="11" t="n">
        <v>14</v>
      </c>
      <c r="B18" s="12" t="s">
        <v>181</v>
      </c>
      <c r="C18" s="13" t="s">
        <v>181</v>
      </c>
      <c r="D18" s="14" t="s">
        <v>83</v>
      </c>
      <c r="E18" s="11" t="s">
        <v>104</v>
      </c>
      <c r="F18" s="13" t="s">
        <v>182</v>
      </c>
      <c r="G18" s="11" t="s">
        <v>86</v>
      </c>
      <c r="H18" s="11"/>
      <c r="I18" s="11"/>
      <c r="J18" s="11"/>
      <c r="K18" s="11" t="s">
        <v>86</v>
      </c>
      <c r="L18" s="13" t="s">
        <v>183</v>
      </c>
      <c r="M18" s="13" t="s">
        <v>184</v>
      </c>
      <c r="N18" s="13" t="s">
        <v>185</v>
      </c>
      <c r="O18" s="11" t="s">
        <v>186</v>
      </c>
      <c r="P18" s="11" t="s">
        <v>166</v>
      </c>
      <c r="Q18" s="13" t="s">
        <v>187</v>
      </c>
      <c r="R18" s="15" t="s">
        <v>94</v>
      </c>
      <c r="S18" s="13"/>
      <c r="T18" s="16" t="s">
        <v>95</v>
      </c>
      <c r="U18" s="16"/>
    </row>
    <row r="19" customFormat="false" ht="23.85" hidden="false" customHeight="false" outlineLevel="0" collapsed="false">
      <c r="A19" s="11" t="n">
        <v>15</v>
      </c>
      <c r="B19" s="12" t="s">
        <v>188</v>
      </c>
      <c r="C19" s="13" t="s">
        <v>188</v>
      </c>
      <c r="D19" s="14" t="s">
        <v>83</v>
      </c>
      <c r="E19" s="11" t="s">
        <v>104</v>
      </c>
      <c r="F19" s="13" t="s">
        <v>189</v>
      </c>
      <c r="G19" s="11"/>
      <c r="H19" s="11"/>
      <c r="I19" s="11"/>
      <c r="J19" s="11"/>
      <c r="K19" s="11" t="s">
        <v>86</v>
      </c>
      <c r="L19" s="13" t="s">
        <v>190</v>
      </c>
      <c r="M19" s="13" t="s">
        <v>191</v>
      </c>
      <c r="N19" s="13" t="s">
        <v>192</v>
      </c>
      <c r="O19" s="11" t="s">
        <v>193</v>
      </c>
      <c r="P19" s="11" t="s">
        <v>132</v>
      </c>
      <c r="Q19" s="13" t="s">
        <v>194</v>
      </c>
      <c r="R19" s="15" t="s">
        <v>94</v>
      </c>
      <c r="S19" s="13"/>
      <c r="T19" s="16" t="s">
        <v>95</v>
      </c>
      <c r="U19" s="16"/>
    </row>
    <row r="20" customFormat="false" ht="35.05" hidden="false" customHeight="false" outlineLevel="0" collapsed="false">
      <c r="A20" s="11" t="n">
        <v>16</v>
      </c>
      <c r="B20" s="12" t="s">
        <v>195</v>
      </c>
      <c r="C20" s="17" t="s">
        <v>196</v>
      </c>
      <c r="D20" s="14" t="s">
        <v>83</v>
      </c>
      <c r="E20" s="11" t="s">
        <v>197</v>
      </c>
      <c r="F20" s="13" t="s">
        <v>198</v>
      </c>
      <c r="G20" s="11" t="s">
        <v>86</v>
      </c>
      <c r="H20" s="11"/>
      <c r="I20" s="11"/>
      <c r="J20" s="11"/>
      <c r="K20" s="11" t="s">
        <v>86</v>
      </c>
      <c r="L20" s="13" t="s">
        <v>199</v>
      </c>
      <c r="M20" s="13" t="s">
        <v>200</v>
      </c>
      <c r="N20" s="13" t="s">
        <v>201</v>
      </c>
      <c r="O20" s="11" t="s">
        <v>202</v>
      </c>
      <c r="P20" s="11" t="s">
        <v>166</v>
      </c>
      <c r="Q20" s="13" t="s">
        <v>203</v>
      </c>
      <c r="R20" s="15" t="s">
        <v>94</v>
      </c>
      <c r="S20" s="13"/>
      <c r="T20" s="16" t="s">
        <v>95</v>
      </c>
      <c r="U20" s="16"/>
    </row>
    <row r="21" customFormat="false" ht="35.05" hidden="false" customHeight="false" outlineLevel="0" collapsed="false">
      <c r="A21" s="11" t="n">
        <v>17</v>
      </c>
      <c r="B21" s="12" t="s">
        <v>204</v>
      </c>
      <c r="C21" s="13" t="s">
        <v>204</v>
      </c>
      <c r="D21" s="14" t="s">
        <v>205</v>
      </c>
      <c r="E21" s="11" t="s">
        <v>197</v>
      </c>
      <c r="F21" s="13" t="s">
        <v>206</v>
      </c>
      <c r="G21" s="11" t="s">
        <v>86</v>
      </c>
      <c r="H21" s="11" t="s">
        <v>86</v>
      </c>
      <c r="I21" s="11"/>
      <c r="J21" s="11"/>
      <c r="K21" s="11" t="s">
        <v>86</v>
      </c>
      <c r="L21" s="13" t="s">
        <v>207</v>
      </c>
      <c r="M21" s="13" t="s">
        <v>208</v>
      </c>
      <c r="N21" s="13" t="s">
        <v>209</v>
      </c>
      <c r="O21" s="11" t="s">
        <v>91</v>
      </c>
      <c r="P21" s="11" t="s">
        <v>92</v>
      </c>
      <c r="Q21" s="13" t="s">
        <v>210</v>
      </c>
      <c r="R21" s="15" t="s">
        <v>94</v>
      </c>
      <c r="S21" s="13" t="s">
        <v>211</v>
      </c>
      <c r="T21" s="16" t="s">
        <v>95</v>
      </c>
      <c r="U21" s="16"/>
    </row>
    <row r="22" customFormat="false" ht="23.85" hidden="false" customHeight="false" outlineLevel="0" collapsed="false">
      <c r="A22" s="11" t="n">
        <v>18</v>
      </c>
      <c r="B22" s="12" t="s">
        <v>212</v>
      </c>
      <c r="C22" s="17" t="s">
        <v>213</v>
      </c>
      <c r="D22" s="14" t="s">
        <v>205</v>
      </c>
      <c r="E22" s="11" t="s">
        <v>197</v>
      </c>
      <c r="F22" s="13" t="s">
        <v>214</v>
      </c>
      <c r="G22" s="11" t="s">
        <v>86</v>
      </c>
      <c r="H22" s="11"/>
      <c r="I22" s="11" t="s">
        <v>86</v>
      </c>
      <c r="J22" s="11"/>
      <c r="K22" s="11" t="s">
        <v>86</v>
      </c>
      <c r="L22" s="13" t="s">
        <v>215</v>
      </c>
      <c r="M22" s="13" t="s">
        <v>216</v>
      </c>
      <c r="N22" s="13" t="s">
        <v>217</v>
      </c>
      <c r="O22" s="11" t="s">
        <v>91</v>
      </c>
      <c r="P22" s="11" t="s">
        <v>92</v>
      </c>
      <c r="Q22" s="13" t="s">
        <v>218</v>
      </c>
      <c r="R22" s="15" t="s">
        <v>94</v>
      </c>
      <c r="S22" s="13"/>
      <c r="T22" s="16" t="s">
        <v>95</v>
      </c>
      <c r="U22" s="16"/>
    </row>
    <row r="23" customFormat="false" ht="46.25" hidden="false" customHeight="false" outlineLevel="0" collapsed="false">
      <c r="A23" s="11" t="n">
        <v>19</v>
      </c>
      <c r="B23" s="12" t="s">
        <v>219</v>
      </c>
      <c r="C23" s="17" t="s">
        <v>220</v>
      </c>
      <c r="D23" s="14" t="s">
        <v>205</v>
      </c>
      <c r="E23" s="11" t="s">
        <v>197</v>
      </c>
      <c r="F23" s="13" t="s">
        <v>221</v>
      </c>
      <c r="G23" s="11" t="s">
        <v>86</v>
      </c>
      <c r="H23" s="11" t="s">
        <v>86</v>
      </c>
      <c r="I23" s="11"/>
      <c r="J23" s="11"/>
      <c r="K23" s="11" t="s">
        <v>86</v>
      </c>
      <c r="L23" s="13" t="s">
        <v>222</v>
      </c>
      <c r="M23" s="13" t="s">
        <v>223</v>
      </c>
      <c r="N23" s="13" t="s">
        <v>224</v>
      </c>
      <c r="O23" s="11" t="s">
        <v>124</v>
      </c>
      <c r="P23" s="11" t="s">
        <v>92</v>
      </c>
      <c r="Q23" s="13" t="s">
        <v>225</v>
      </c>
      <c r="R23" s="15" t="s">
        <v>94</v>
      </c>
      <c r="S23" s="13" t="s">
        <v>226</v>
      </c>
      <c r="T23" s="16" t="s">
        <v>95</v>
      </c>
      <c r="U23" s="16"/>
    </row>
    <row r="24" customFormat="false" ht="35.05" hidden="false" customHeight="false" outlineLevel="0" collapsed="false">
      <c r="A24" s="11" t="n">
        <v>20</v>
      </c>
      <c r="B24" s="12" t="s">
        <v>227</v>
      </c>
      <c r="C24" s="17" t="s">
        <v>228</v>
      </c>
      <c r="D24" s="14" t="s">
        <v>205</v>
      </c>
      <c r="E24" s="11" t="s">
        <v>197</v>
      </c>
      <c r="F24" s="13" t="s">
        <v>229</v>
      </c>
      <c r="G24" s="11" t="s">
        <v>86</v>
      </c>
      <c r="H24" s="11" t="s">
        <v>86</v>
      </c>
      <c r="I24" s="11" t="s">
        <v>86</v>
      </c>
      <c r="J24" s="11"/>
      <c r="K24" s="11" t="s">
        <v>86</v>
      </c>
      <c r="L24" s="13" t="s">
        <v>230</v>
      </c>
      <c r="M24" s="13" t="s">
        <v>231</v>
      </c>
      <c r="N24" s="13" t="s">
        <v>232</v>
      </c>
      <c r="O24" s="11" t="s">
        <v>152</v>
      </c>
      <c r="P24" s="11" t="s">
        <v>92</v>
      </c>
      <c r="Q24" s="13" t="s">
        <v>233</v>
      </c>
      <c r="R24" s="15" t="s">
        <v>234</v>
      </c>
      <c r="S24" s="13" t="s">
        <v>235</v>
      </c>
      <c r="T24" s="16" t="s">
        <v>95</v>
      </c>
      <c r="U24" s="16"/>
    </row>
    <row r="25" customFormat="false" ht="35.05" hidden="false" customHeight="false" outlineLevel="0" collapsed="false">
      <c r="A25" s="11" t="n">
        <v>21</v>
      </c>
      <c r="B25" s="12" t="s">
        <v>236</v>
      </c>
      <c r="C25" s="17" t="s">
        <v>237</v>
      </c>
      <c r="D25" s="14" t="s">
        <v>205</v>
      </c>
      <c r="E25" s="11" t="s">
        <v>84</v>
      </c>
      <c r="F25" s="13" t="s">
        <v>238</v>
      </c>
      <c r="G25" s="11" t="s">
        <v>86</v>
      </c>
      <c r="H25" s="11" t="s">
        <v>86</v>
      </c>
      <c r="I25" s="11"/>
      <c r="J25" s="11"/>
      <c r="K25" s="11" t="s">
        <v>86</v>
      </c>
      <c r="L25" s="13" t="s">
        <v>239</v>
      </c>
      <c r="M25" s="13" t="s">
        <v>240</v>
      </c>
      <c r="N25" s="13" t="s">
        <v>241</v>
      </c>
      <c r="O25" s="11" t="s">
        <v>152</v>
      </c>
      <c r="P25" s="11" t="s">
        <v>166</v>
      </c>
      <c r="Q25" s="13" t="s">
        <v>242</v>
      </c>
      <c r="R25" s="15" t="s">
        <v>234</v>
      </c>
      <c r="S25" s="13" t="s">
        <v>235</v>
      </c>
      <c r="T25" s="16" t="s">
        <v>95</v>
      </c>
      <c r="U25" s="16"/>
    </row>
    <row r="26" customFormat="false" ht="23.85" hidden="false" customHeight="false" outlineLevel="0" collapsed="false">
      <c r="A26" s="11" t="n">
        <v>22</v>
      </c>
      <c r="B26" s="12" t="s">
        <v>243</v>
      </c>
      <c r="C26" s="17" t="s">
        <v>244</v>
      </c>
      <c r="D26" s="14" t="s">
        <v>205</v>
      </c>
      <c r="E26" s="11" t="s">
        <v>197</v>
      </c>
      <c r="F26" s="13" t="s">
        <v>245</v>
      </c>
      <c r="G26" s="11"/>
      <c r="H26" s="11" t="s">
        <v>86</v>
      </c>
      <c r="I26" s="11"/>
      <c r="J26" s="11"/>
      <c r="K26" s="11"/>
      <c r="L26" s="13" t="s">
        <v>246</v>
      </c>
      <c r="M26" s="13" t="s">
        <v>247</v>
      </c>
      <c r="N26" s="13" t="s">
        <v>202</v>
      </c>
      <c r="O26" s="11" t="s">
        <v>202</v>
      </c>
      <c r="P26" s="11" t="s">
        <v>166</v>
      </c>
      <c r="Q26" s="13" t="s">
        <v>248</v>
      </c>
      <c r="R26" s="15" t="s">
        <v>234</v>
      </c>
      <c r="S26" s="13" t="s">
        <v>249</v>
      </c>
      <c r="T26" s="16" t="s">
        <v>95</v>
      </c>
      <c r="U26" s="16"/>
    </row>
    <row r="27" customFormat="false" ht="23.85" hidden="false" customHeight="false" outlineLevel="0" collapsed="false">
      <c r="A27" s="11" t="n">
        <v>23</v>
      </c>
      <c r="B27" s="12" t="s">
        <v>250</v>
      </c>
      <c r="C27" s="17" t="s">
        <v>251</v>
      </c>
      <c r="D27" s="14" t="s">
        <v>205</v>
      </c>
      <c r="E27" s="11" t="s">
        <v>197</v>
      </c>
      <c r="F27" s="13" t="s">
        <v>252</v>
      </c>
      <c r="G27" s="11"/>
      <c r="H27" s="11" t="s">
        <v>86</v>
      </c>
      <c r="I27" s="11"/>
      <c r="J27" s="11"/>
      <c r="K27" s="11"/>
      <c r="L27" s="13" t="s">
        <v>246</v>
      </c>
      <c r="M27" s="13" t="s">
        <v>247</v>
      </c>
      <c r="N27" s="13" t="s">
        <v>202</v>
      </c>
      <c r="O27" s="11" t="s">
        <v>202</v>
      </c>
      <c r="P27" s="11" t="s">
        <v>166</v>
      </c>
      <c r="Q27" s="13" t="s">
        <v>253</v>
      </c>
      <c r="R27" s="15" t="s">
        <v>234</v>
      </c>
      <c r="S27" s="13" t="s">
        <v>249</v>
      </c>
      <c r="T27" s="16" t="s">
        <v>95</v>
      </c>
      <c r="U27" s="16"/>
    </row>
    <row r="28" customFormat="false" ht="23.85" hidden="false" customHeight="false" outlineLevel="0" collapsed="false">
      <c r="A28" s="11" t="n">
        <v>24</v>
      </c>
      <c r="B28" s="12" t="s">
        <v>254</v>
      </c>
      <c r="C28" s="17" t="s">
        <v>255</v>
      </c>
      <c r="D28" s="14" t="s">
        <v>205</v>
      </c>
      <c r="E28" s="11" t="s">
        <v>197</v>
      </c>
      <c r="F28" s="13" t="s">
        <v>256</v>
      </c>
      <c r="G28" s="11"/>
      <c r="H28" s="11" t="s">
        <v>86</v>
      </c>
      <c r="I28" s="11"/>
      <c r="J28" s="11"/>
      <c r="K28" s="11"/>
      <c r="L28" s="13" t="s">
        <v>246</v>
      </c>
      <c r="M28" s="13" t="s">
        <v>247</v>
      </c>
      <c r="N28" s="13" t="s">
        <v>202</v>
      </c>
      <c r="O28" s="11" t="s">
        <v>202</v>
      </c>
      <c r="P28" s="11" t="s">
        <v>166</v>
      </c>
      <c r="Q28" s="13" t="s">
        <v>253</v>
      </c>
      <c r="R28" s="15" t="s">
        <v>234</v>
      </c>
      <c r="S28" s="13" t="s">
        <v>249</v>
      </c>
      <c r="T28" s="16" t="s">
        <v>95</v>
      </c>
      <c r="U28" s="16"/>
    </row>
    <row r="29" customFormat="false" ht="23.85" hidden="false" customHeight="false" outlineLevel="0" collapsed="false">
      <c r="A29" s="11" t="n">
        <v>25</v>
      </c>
      <c r="B29" s="12" t="s">
        <v>257</v>
      </c>
      <c r="C29" s="17" t="s">
        <v>258</v>
      </c>
      <c r="D29" s="14" t="s">
        <v>205</v>
      </c>
      <c r="E29" s="11" t="s">
        <v>197</v>
      </c>
      <c r="F29" s="13" t="s">
        <v>259</v>
      </c>
      <c r="G29" s="11"/>
      <c r="H29" s="11" t="s">
        <v>86</v>
      </c>
      <c r="I29" s="11"/>
      <c r="J29" s="11"/>
      <c r="K29" s="11"/>
      <c r="L29" s="13" t="s">
        <v>246</v>
      </c>
      <c r="M29" s="13" t="s">
        <v>247</v>
      </c>
      <c r="N29" s="13" t="s">
        <v>202</v>
      </c>
      <c r="O29" s="11" t="s">
        <v>202</v>
      </c>
      <c r="P29" s="11" t="s">
        <v>166</v>
      </c>
      <c r="Q29" s="13" t="s">
        <v>253</v>
      </c>
      <c r="R29" s="15" t="s">
        <v>234</v>
      </c>
      <c r="S29" s="13" t="s">
        <v>249</v>
      </c>
      <c r="T29" s="16" t="s">
        <v>95</v>
      </c>
      <c r="U29" s="16"/>
    </row>
    <row r="30" customFormat="false" ht="46.25" hidden="false" customHeight="false" outlineLevel="0" collapsed="false">
      <c r="A30" s="11" t="n">
        <v>26</v>
      </c>
      <c r="B30" s="12" t="s">
        <v>260</v>
      </c>
      <c r="C30" s="17" t="s">
        <v>261</v>
      </c>
      <c r="D30" s="14" t="s">
        <v>262</v>
      </c>
      <c r="E30" s="11" t="s">
        <v>197</v>
      </c>
      <c r="F30" s="13" t="s">
        <v>263</v>
      </c>
      <c r="G30" s="11" t="s">
        <v>86</v>
      </c>
      <c r="H30" s="11" t="s">
        <v>86</v>
      </c>
      <c r="I30" s="11" t="s">
        <v>87</v>
      </c>
      <c r="J30" s="11"/>
      <c r="K30" s="11" t="s">
        <v>87</v>
      </c>
      <c r="L30" s="13" t="s">
        <v>264</v>
      </c>
      <c r="M30" s="13" t="s">
        <v>265</v>
      </c>
      <c r="N30" s="13" t="s">
        <v>266</v>
      </c>
      <c r="O30" s="11" t="s">
        <v>91</v>
      </c>
      <c r="P30" s="11" t="s">
        <v>132</v>
      </c>
      <c r="Q30" s="13" t="s">
        <v>267</v>
      </c>
      <c r="R30" s="11" t="s">
        <v>268</v>
      </c>
      <c r="S30" s="13" t="s">
        <v>269</v>
      </c>
      <c r="T30" s="16" t="s">
        <v>95</v>
      </c>
      <c r="U30" s="16"/>
    </row>
    <row r="31" customFormat="false" ht="35.05" hidden="false" customHeight="false" outlineLevel="0" collapsed="false">
      <c r="A31" s="11" t="n">
        <v>27</v>
      </c>
      <c r="B31" s="12" t="s">
        <v>270</v>
      </c>
      <c r="C31" s="17" t="s">
        <v>271</v>
      </c>
      <c r="D31" s="14" t="s">
        <v>262</v>
      </c>
      <c r="E31" s="11" t="s">
        <v>197</v>
      </c>
      <c r="F31" s="13" t="s">
        <v>272</v>
      </c>
      <c r="G31" s="11" t="s">
        <v>86</v>
      </c>
      <c r="H31" s="11" t="s">
        <v>86</v>
      </c>
      <c r="I31" s="11" t="s">
        <v>87</v>
      </c>
      <c r="J31" s="11"/>
      <c r="K31" s="11" t="s">
        <v>87</v>
      </c>
      <c r="L31" s="13" t="s">
        <v>273</v>
      </c>
      <c r="M31" s="13" t="s">
        <v>274</v>
      </c>
      <c r="N31" s="13" t="s">
        <v>275</v>
      </c>
      <c r="O31" s="11" t="s">
        <v>91</v>
      </c>
      <c r="P31" s="11" t="s">
        <v>132</v>
      </c>
      <c r="Q31" s="13" t="s">
        <v>276</v>
      </c>
      <c r="R31" s="11" t="s">
        <v>268</v>
      </c>
      <c r="S31" s="13" t="s">
        <v>277</v>
      </c>
      <c r="T31" s="16" t="s">
        <v>95</v>
      </c>
      <c r="U31" s="16"/>
    </row>
    <row r="32" customFormat="false" ht="35.05" hidden="false" customHeight="false" outlineLevel="0" collapsed="false">
      <c r="A32" s="11" t="n">
        <v>28</v>
      </c>
      <c r="B32" s="12" t="s">
        <v>278</v>
      </c>
      <c r="C32" s="17" t="s">
        <v>279</v>
      </c>
      <c r="D32" s="14" t="s">
        <v>262</v>
      </c>
      <c r="E32" s="11" t="s">
        <v>197</v>
      </c>
      <c r="F32" s="13" t="s">
        <v>272</v>
      </c>
      <c r="G32" s="11" t="s">
        <v>86</v>
      </c>
      <c r="H32" s="11"/>
      <c r="I32" s="11" t="s">
        <v>87</v>
      </c>
      <c r="J32" s="11"/>
      <c r="K32" s="11" t="s">
        <v>87</v>
      </c>
      <c r="L32" s="13" t="s">
        <v>280</v>
      </c>
      <c r="M32" s="13" t="s">
        <v>281</v>
      </c>
      <c r="N32" s="13" t="s">
        <v>282</v>
      </c>
      <c r="O32" s="11" t="s">
        <v>91</v>
      </c>
      <c r="P32" s="11" t="s">
        <v>92</v>
      </c>
      <c r="Q32" s="13" t="s">
        <v>283</v>
      </c>
      <c r="R32" s="11" t="s">
        <v>268</v>
      </c>
      <c r="S32" s="13"/>
      <c r="T32" s="16" t="s">
        <v>95</v>
      </c>
      <c r="U32" s="16"/>
    </row>
    <row r="33" customFormat="false" ht="35.05" hidden="false" customHeight="false" outlineLevel="0" collapsed="false">
      <c r="A33" s="11" t="n">
        <v>29</v>
      </c>
      <c r="B33" s="12" t="s">
        <v>284</v>
      </c>
      <c r="C33" s="17" t="s">
        <v>285</v>
      </c>
      <c r="D33" s="14" t="s">
        <v>262</v>
      </c>
      <c r="E33" s="11" t="s">
        <v>197</v>
      </c>
      <c r="F33" s="13" t="s">
        <v>272</v>
      </c>
      <c r="G33" s="11" t="s">
        <v>86</v>
      </c>
      <c r="H33" s="11"/>
      <c r="I33" s="11" t="s">
        <v>87</v>
      </c>
      <c r="J33" s="11"/>
      <c r="K33" s="11" t="s">
        <v>87</v>
      </c>
      <c r="L33" s="13" t="s">
        <v>286</v>
      </c>
      <c r="M33" s="13" t="s">
        <v>287</v>
      </c>
      <c r="N33" s="13" t="s">
        <v>288</v>
      </c>
      <c r="O33" s="11" t="s">
        <v>91</v>
      </c>
      <c r="P33" s="11" t="s">
        <v>92</v>
      </c>
      <c r="Q33" s="13" t="s">
        <v>289</v>
      </c>
      <c r="R33" s="11" t="s">
        <v>268</v>
      </c>
      <c r="S33" s="13"/>
      <c r="T33" s="16" t="s">
        <v>95</v>
      </c>
      <c r="U33" s="16"/>
    </row>
    <row r="34" customFormat="false" ht="35.05" hidden="false" customHeight="false" outlineLevel="0" collapsed="false">
      <c r="A34" s="11" t="n">
        <v>30</v>
      </c>
      <c r="B34" s="12" t="s">
        <v>290</v>
      </c>
      <c r="C34" s="17" t="s">
        <v>291</v>
      </c>
      <c r="D34" s="14" t="s">
        <v>262</v>
      </c>
      <c r="E34" s="11" t="s">
        <v>84</v>
      </c>
      <c r="F34" s="13" t="s">
        <v>292</v>
      </c>
      <c r="G34" s="11" t="s">
        <v>86</v>
      </c>
      <c r="H34" s="11"/>
      <c r="I34" s="11" t="s">
        <v>87</v>
      </c>
      <c r="J34" s="11"/>
      <c r="K34" s="11" t="s">
        <v>87</v>
      </c>
      <c r="L34" s="13" t="s">
        <v>293</v>
      </c>
      <c r="M34" s="13" t="s">
        <v>294</v>
      </c>
      <c r="N34" s="13" t="s">
        <v>295</v>
      </c>
      <c r="O34" s="11" t="s">
        <v>91</v>
      </c>
      <c r="P34" s="11" t="s">
        <v>92</v>
      </c>
      <c r="Q34" s="13" t="s">
        <v>296</v>
      </c>
      <c r="R34" s="11" t="s">
        <v>268</v>
      </c>
      <c r="S34" s="13"/>
      <c r="T34" s="16" t="s">
        <v>95</v>
      </c>
      <c r="U34" s="16"/>
    </row>
    <row r="35" customFormat="false" ht="35.05" hidden="false" customHeight="false" outlineLevel="0" collapsed="false">
      <c r="A35" s="11" t="n">
        <v>31</v>
      </c>
      <c r="B35" s="12" t="s">
        <v>297</v>
      </c>
      <c r="C35" s="13" t="s">
        <v>297</v>
      </c>
      <c r="D35" s="14" t="s">
        <v>262</v>
      </c>
      <c r="E35" s="11" t="s">
        <v>298</v>
      </c>
      <c r="F35" s="13" t="s">
        <v>299</v>
      </c>
      <c r="G35" s="11" t="s">
        <v>86</v>
      </c>
      <c r="H35" s="11"/>
      <c r="I35" s="11" t="s">
        <v>87</v>
      </c>
      <c r="J35" s="11"/>
      <c r="K35" s="11" t="s">
        <v>87</v>
      </c>
      <c r="L35" s="13"/>
      <c r="M35" s="13" t="s">
        <v>300</v>
      </c>
      <c r="N35" s="13" t="s">
        <v>301</v>
      </c>
      <c r="O35" s="11" t="s">
        <v>91</v>
      </c>
      <c r="P35" s="11" t="s">
        <v>92</v>
      </c>
      <c r="Q35" s="13" t="s">
        <v>302</v>
      </c>
      <c r="R35" s="11" t="s">
        <v>268</v>
      </c>
      <c r="S35" s="13"/>
      <c r="T35" s="16" t="s">
        <v>95</v>
      </c>
      <c r="U35" s="16"/>
    </row>
    <row r="36" customFormat="false" ht="35.05" hidden="false" customHeight="false" outlineLevel="0" collapsed="false">
      <c r="A36" s="11" t="n">
        <v>32</v>
      </c>
      <c r="B36" s="12" t="s">
        <v>303</v>
      </c>
      <c r="C36" s="17" t="s">
        <v>304</v>
      </c>
      <c r="D36" s="14" t="s">
        <v>262</v>
      </c>
      <c r="E36" s="11" t="s">
        <v>197</v>
      </c>
      <c r="F36" s="13" t="s">
        <v>305</v>
      </c>
      <c r="G36" s="11" t="s">
        <v>86</v>
      </c>
      <c r="H36" s="11" t="s">
        <v>86</v>
      </c>
      <c r="I36" s="11" t="s">
        <v>86</v>
      </c>
      <c r="J36" s="11" t="s">
        <v>86</v>
      </c>
      <c r="K36" s="11" t="s">
        <v>86</v>
      </c>
      <c r="L36" s="13" t="s">
        <v>306</v>
      </c>
      <c r="M36" s="13" t="s">
        <v>307</v>
      </c>
      <c r="N36" s="13" t="s">
        <v>308</v>
      </c>
      <c r="O36" s="11" t="s">
        <v>91</v>
      </c>
      <c r="P36" s="11" t="s">
        <v>92</v>
      </c>
      <c r="Q36" s="13" t="s">
        <v>309</v>
      </c>
      <c r="R36" s="15" t="s">
        <v>94</v>
      </c>
      <c r="S36" s="13"/>
      <c r="T36" s="16" t="s">
        <v>95</v>
      </c>
      <c r="U36" s="16"/>
    </row>
    <row r="37" customFormat="false" ht="35.05" hidden="false" customHeight="false" outlineLevel="0" collapsed="false">
      <c r="A37" s="11" t="n">
        <v>33</v>
      </c>
      <c r="B37" s="12" t="s">
        <v>310</v>
      </c>
      <c r="C37" s="17" t="s">
        <v>311</v>
      </c>
      <c r="D37" s="14" t="s">
        <v>262</v>
      </c>
      <c r="E37" s="11" t="s">
        <v>104</v>
      </c>
      <c r="F37" s="13" t="s">
        <v>312</v>
      </c>
      <c r="G37" s="11" t="s">
        <v>86</v>
      </c>
      <c r="H37" s="11" t="s">
        <v>86</v>
      </c>
      <c r="I37" s="11" t="s">
        <v>86</v>
      </c>
      <c r="J37" s="11" t="s">
        <v>86</v>
      </c>
      <c r="K37" s="11" t="s">
        <v>86</v>
      </c>
      <c r="L37" s="13" t="s">
        <v>273</v>
      </c>
      <c r="M37" s="13" t="s">
        <v>313</v>
      </c>
      <c r="N37" s="13" t="s">
        <v>314</v>
      </c>
      <c r="O37" s="11" t="s">
        <v>91</v>
      </c>
      <c r="P37" s="11" t="s">
        <v>92</v>
      </c>
      <c r="Q37" s="13" t="s">
        <v>315</v>
      </c>
      <c r="R37" s="15" t="s">
        <v>94</v>
      </c>
      <c r="S37" s="13" t="s">
        <v>316</v>
      </c>
      <c r="T37" s="16" t="s">
        <v>95</v>
      </c>
      <c r="U37" s="16"/>
    </row>
    <row r="38" customFormat="false" ht="35.05" hidden="false" customHeight="false" outlineLevel="0" collapsed="false">
      <c r="A38" s="11" t="n">
        <v>34</v>
      </c>
      <c r="B38" s="12" t="s">
        <v>317</v>
      </c>
      <c r="C38" s="13" t="s">
        <v>318</v>
      </c>
      <c r="D38" s="14" t="s">
        <v>262</v>
      </c>
      <c r="E38" s="11" t="s">
        <v>84</v>
      </c>
      <c r="F38" s="13" t="s">
        <v>319</v>
      </c>
      <c r="G38" s="11" t="s">
        <v>86</v>
      </c>
      <c r="H38" s="11"/>
      <c r="I38" s="11" t="s">
        <v>86</v>
      </c>
      <c r="J38" s="11"/>
      <c r="K38" s="11" t="s">
        <v>86</v>
      </c>
      <c r="L38" s="13" t="s">
        <v>286</v>
      </c>
      <c r="M38" s="13" t="s">
        <v>320</v>
      </c>
      <c r="N38" s="13" t="s">
        <v>321</v>
      </c>
      <c r="O38" s="11" t="s">
        <v>124</v>
      </c>
      <c r="P38" s="11" t="s">
        <v>92</v>
      </c>
      <c r="Q38" s="13" t="s">
        <v>322</v>
      </c>
      <c r="R38" s="15" t="s">
        <v>94</v>
      </c>
      <c r="S38" s="13"/>
      <c r="T38" s="16" t="s">
        <v>95</v>
      </c>
      <c r="U38" s="16"/>
    </row>
    <row r="39" customFormat="false" ht="23.85" hidden="false" customHeight="false" outlineLevel="0" collapsed="false">
      <c r="A39" s="11" t="n">
        <v>35</v>
      </c>
      <c r="B39" s="12" t="s">
        <v>323</v>
      </c>
      <c r="C39" s="17" t="s">
        <v>324</v>
      </c>
      <c r="D39" s="14" t="s">
        <v>262</v>
      </c>
      <c r="E39" s="11" t="s">
        <v>84</v>
      </c>
      <c r="F39" s="13" t="s">
        <v>325</v>
      </c>
      <c r="G39" s="11" t="s">
        <v>86</v>
      </c>
      <c r="H39" s="11"/>
      <c r="I39" s="11" t="s">
        <v>87</v>
      </c>
      <c r="J39" s="11"/>
      <c r="K39" s="11" t="s">
        <v>87</v>
      </c>
      <c r="L39" s="13" t="s">
        <v>326</v>
      </c>
      <c r="M39" s="13" t="s">
        <v>327</v>
      </c>
      <c r="N39" s="13" t="s">
        <v>328</v>
      </c>
      <c r="O39" s="11" t="s">
        <v>152</v>
      </c>
      <c r="P39" s="11" t="s">
        <v>92</v>
      </c>
      <c r="Q39" s="13" t="s">
        <v>329</v>
      </c>
      <c r="R39" s="11" t="s">
        <v>268</v>
      </c>
      <c r="S39" s="13"/>
      <c r="T39" s="16" t="s">
        <v>95</v>
      </c>
      <c r="U39" s="16"/>
    </row>
    <row r="40" customFormat="false" ht="23.85" hidden="false" customHeight="false" outlineLevel="0" collapsed="false">
      <c r="A40" s="11" t="n">
        <v>36</v>
      </c>
      <c r="B40" s="12" t="s">
        <v>330</v>
      </c>
      <c r="C40" s="17" t="s">
        <v>331</v>
      </c>
      <c r="D40" s="14" t="s">
        <v>262</v>
      </c>
      <c r="E40" s="11" t="s">
        <v>197</v>
      </c>
      <c r="F40" s="13" t="s">
        <v>332</v>
      </c>
      <c r="G40" s="11" t="s">
        <v>86</v>
      </c>
      <c r="H40" s="11" t="s">
        <v>87</v>
      </c>
      <c r="I40" s="11" t="s">
        <v>86</v>
      </c>
      <c r="J40" s="11"/>
      <c r="K40" s="11" t="s">
        <v>86</v>
      </c>
      <c r="L40" s="13" t="s">
        <v>273</v>
      </c>
      <c r="M40" s="13" t="s">
        <v>333</v>
      </c>
      <c r="N40" s="13" t="s">
        <v>334</v>
      </c>
      <c r="O40" s="11" t="s">
        <v>152</v>
      </c>
      <c r="P40" s="11" t="s">
        <v>92</v>
      </c>
      <c r="Q40" s="13" t="s">
        <v>335</v>
      </c>
      <c r="R40" s="15" t="s">
        <v>94</v>
      </c>
      <c r="S40" s="13"/>
      <c r="T40" s="16" t="s">
        <v>95</v>
      </c>
      <c r="U40" s="16"/>
    </row>
    <row r="41" customFormat="false" ht="23.85" hidden="false" customHeight="false" outlineLevel="0" collapsed="false">
      <c r="A41" s="11" t="n">
        <v>37</v>
      </c>
      <c r="B41" s="12" t="s">
        <v>336</v>
      </c>
      <c r="C41" s="17" t="s">
        <v>337</v>
      </c>
      <c r="D41" s="14" t="s">
        <v>262</v>
      </c>
      <c r="E41" s="11" t="s">
        <v>197</v>
      </c>
      <c r="F41" s="13" t="s">
        <v>338</v>
      </c>
      <c r="G41" s="11"/>
      <c r="H41" s="11" t="s">
        <v>86</v>
      </c>
      <c r="I41" s="11" t="s">
        <v>86</v>
      </c>
      <c r="J41" s="11"/>
      <c r="K41" s="11" t="s">
        <v>86</v>
      </c>
      <c r="L41" s="13" t="s">
        <v>286</v>
      </c>
      <c r="M41" s="13" t="s">
        <v>339</v>
      </c>
      <c r="N41" s="13" t="s">
        <v>340</v>
      </c>
      <c r="O41" s="11" t="s">
        <v>152</v>
      </c>
      <c r="P41" s="11" t="s">
        <v>132</v>
      </c>
      <c r="Q41" s="13" t="s">
        <v>341</v>
      </c>
      <c r="R41" s="15" t="s">
        <v>94</v>
      </c>
      <c r="S41" s="13"/>
      <c r="T41" s="16" t="s">
        <v>95</v>
      </c>
      <c r="U41" s="16"/>
    </row>
    <row r="42" customFormat="false" ht="23.85" hidden="false" customHeight="false" outlineLevel="0" collapsed="false">
      <c r="A42" s="11" t="n">
        <v>38</v>
      </c>
      <c r="B42" s="12" t="s">
        <v>342</v>
      </c>
      <c r="C42" s="13" t="s">
        <v>343</v>
      </c>
      <c r="D42" s="14" t="s">
        <v>262</v>
      </c>
      <c r="E42" s="11" t="s">
        <v>197</v>
      </c>
      <c r="F42" s="13" t="s">
        <v>344</v>
      </c>
      <c r="G42" s="11" t="s">
        <v>86</v>
      </c>
      <c r="H42" s="11" t="s">
        <v>86</v>
      </c>
      <c r="I42" s="11"/>
      <c r="J42" s="11"/>
      <c r="K42" s="11" t="s">
        <v>86</v>
      </c>
      <c r="L42" s="13" t="s">
        <v>286</v>
      </c>
      <c r="M42" s="13" t="s">
        <v>345</v>
      </c>
      <c r="N42" s="13" t="s">
        <v>346</v>
      </c>
      <c r="O42" s="11" t="s">
        <v>152</v>
      </c>
      <c r="P42" s="11" t="s">
        <v>132</v>
      </c>
      <c r="Q42" s="13" t="s">
        <v>187</v>
      </c>
      <c r="R42" s="15" t="s">
        <v>94</v>
      </c>
      <c r="S42" s="13"/>
      <c r="T42" s="16" t="s">
        <v>95</v>
      </c>
      <c r="U42" s="16"/>
    </row>
    <row r="43" customFormat="false" ht="23.85" hidden="false" customHeight="false" outlineLevel="0" collapsed="false">
      <c r="A43" s="11" t="n">
        <v>39</v>
      </c>
      <c r="B43" s="12" t="s">
        <v>347</v>
      </c>
      <c r="C43" s="17" t="s">
        <v>348</v>
      </c>
      <c r="D43" s="14" t="s">
        <v>262</v>
      </c>
      <c r="E43" s="11" t="s">
        <v>197</v>
      </c>
      <c r="F43" s="13" t="s">
        <v>349</v>
      </c>
      <c r="G43" s="11" t="s">
        <v>86</v>
      </c>
      <c r="H43" s="11"/>
      <c r="I43" s="11"/>
      <c r="J43" s="11"/>
      <c r="K43" s="11" t="s">
        <v>86</v>
      </c>
      <c r="L43" s="13" t="s">
        <v>286</v>
      </c>
      <c r="M43" s="13" t="s">
        <v>350</v>
      </c>
      <c r="N43" s="13" t="s">
        <v>351</v>
      </c>
      <c r="O43" s="11" t="s">
        <v>152</v>
      </c>
      <c r="P43" s="11" t="s">
        <v>132</v>
      </c>
      <c r="Q43" s="13" t="s">
        <v>187</v>
      </c>
      <c r="R43" s="15" t="s">
        <v>94</v>
      </c>
      <c r="S43" s="13"/>
      <c r="T43" s="16" t="s">
        <v>95</v>
      </c>
      <c r="U43" s="16"/>
    </row>
    <row r="44" customFormat="false" ht="23.85" hidden="false" customHeight="false" outlineLevel="0" collapsed="false">
      <c r="A44" s="11" t="n">
        <v>40</v>
      </c>
      <c r="B44" s="12" t="s">
        <v>352</v>
      </c>
      <c r="C44" s="13" t="s">
        <v>353</v>
      </c>
      <c r="D44" s="14" t="s">
        <v>262</v>
      </c>
      <c r="E44" s="11" t="s">
        <v>197</v>
      </c>
      <c r="F44" s="13" t="s">
        <v>354</v>
      </c>
      <c r="G44" s="11" t="s">
        <v>86</v>
      </c>
      <c r="H44" s="11"/>
      <c r="I44" s="11"/>
      <c r="J44" s="11" t="s">
        <v>87</v>
      </c>
      <c r="K44" s="11" t="s">
        <v>86</v>
      </c>
      <c r="L44" s="13" t="s">
        <v>273</v>
      </c>
      <c r="M44" s="13" t="s">
        <v>355</v>
      </c>
      <c r="N44" s="13" t="s">
        <v>356</v>
      </c>
      <c r="O44" s="11" t="s">
        <v>152</v>
      </c>
      <c r="P44" s="11" t="s">
        <v>92</v>
      </c>
      <c r="Q44" s="13" t="s">
        <v>187</v>
      </c>
      <c r="R44" s="15" t="s">
        <v>94</v>
      </c>
      <c r="S44" s="13"/>
      <c r="T44" s="16" t="s">
        <v>95</v>
      </c>
      <c r="U44" s="16"/>
    </row>
    <row r="45" customFormat="false" ht="23.85" hidden="false" customHeight="false" outlineLevel="0" collapsed="false">
      <c r="A45" s="11" t="n">
        <v>41</v>
      </c>
      <c r="B45" s="12" t="s">
        <v>357</v>
      </c>
      <c r="C45" s="17" t="s">
        <v>358</v>
      </c>
      <c r="D45" s="14" t="s">
        <v>262</v>
      </c>
      <c r="E45" s="11" t="s">
        <v>197</v>
      </c>
      <c r="F45" s="13" t="s">
        <v>359</v>
      </c>
      <c r="G45" s="11" t="s">
        <v>86</v>
      </c>
      <c r="H45" s="11"/>
      <c r="I45" s="11"/>
      <c r="J45" s="11"/>
      <c r="K45" s="11" t="s">
        <v>87</v>
      </c>
      <c r="L45" s="13" t="s">
        <v>360</v>
      </c>
      <c r="M45" s="13" t="s">
        <v>361</v>
      </c>
      <c r="N45" s="13" t="s">
        <v>362</v>
      </c>
      <c r="O45" s="11" t="s">
        <v>152</v>
      </c>
      <c r="P45" s="11" t="s">
        <v>166</v>
      </c>
      <c r="Q45" s="13" t="s">
        <v>363</v>
      </c>
      <c r="R45" s="15" t="s">
        <v>234</v>
      </c>
      <c r="S45" s="13" t="s">
        <v>364</v>
      </c>
      <c r="T45" s="16" t="s">
        <v>95</v>
      </c>
      <c r="U45" s="16"/>
    </row>
    <row r="46" customFormat="false" ht="23.85" hidden="false" customHeight="false" outlineLevel="0" collapsed="false">
      <c r="A46" s="11" t="n">
        <v>42</v>
      </c>
      <c r="B46" s="12" t="s">
        <v>365</v>
      </c>
      <c r="C46" s="17" t="s">
        <v>366</v>
      </c>
      <c r="D46" s="14" t="s">
        <v>262</v>
      </c>
      <c r="E46" s="11" t="s">
        <v>197</v>
      </c>
      <c r="F46" s="13" t="s">
        <v>367</v>
      </c>
      <c r="G46" s="11" t="s">
        <v>86</v>
      </c>
      <c r="H46" s="11"/>
      <c r="I46" s="11"/>
      <c r="J46" s="11"/>
      <c r="K46" s="11" t="s">
        <v>87</v>
      </c>
      <c r="L46" s="13" t="s">
        <v>273</v>
      </c>
      <c r="M46" s="13" t="s">
        <v>368</v>
      </c>
      <c r="N46" s="13" t="s">
        <v>362</v>
      </c>
      <c r="O46" s="11" t="s">
        <v>152</v>
      </c>
      <c r="P46" s="11" t="s">
        <v>166</v>
      </c>
      <c r="Q46" s="13" t="s">
        <v>363</v>
      </c>
      <c r="R46" s="15" t="s">
        <v>234</v>
      </c>
      <c r="S46" s="13" t="s">
        <v>364</v>
      </c>
      <c r="T46" s="16" t="s">
        <v>95</v>
      </c>
      <c r="U46" s="16"/>
    </row>
    <row r="47" customFormat="false" ht="23.85" hidden="false" customHeight="false" outlineLevel="0" collapsed="false">
      <c r="A47" s="11" t="n">
        <v>43</v>
      </c>
      <c r="B47" s="12" t="s">
        <v>369</v>
      </c>
      <c r="C47" s="17" t="s">
        <v>370</v>
      </c>
      <c r="D47" s="14" t="s">
        <v>262</v>
      </c>
      <c r="E47" s="11" t="s">
        <v>197</v>
      </c>
      <c r="F47" s="13" t="s">
        <v>371</v>
      </c>
      <c r="G47" s="11" t="s">
        <v>87</v>
      </c>
      <c r="H47" s="11"/>
      <c r="I47" s="11"/>
      <c r="J47" s="11"/>
      <c r="K47" s="11" t="s">
        <v>86</v>
      </c>
      <c r="L47" s="13" t="s">
        <v>273</v>
      </c>
      <c r="M47" s="13" t="s">
        <v>372</v>
      </c>
      <c r="N47" s="13" t="s">
        <v>373</v>
      </c>
      <c r="O47" s="11" t="s">
        <v>193</v>
      </c>
      <c r="P47" s="11" t="s">
        <v>166</v>
      </c>
      <c r="Q47" s="13" t="s">
        <v>187</v>
      </c>
      <c r="R47" s="15" t="s">
        <v>94</v>
      </c>
      <c r="S47" s="13"/>
      <c r="T47" s="16" t="s">
        <v>95</v>
      </c>
      <c r="U47" s="16"/>
    </row>
    <row r="48" customFormat="false" ht="23.85" hidden="false" customHeight="false" outlineLevel="0" collapsed="false">
      <c r="A48" s="11" t="n">
        <v>44</v>
      </c>
      <c r="B48" s="12" t="s">
        <v>374</v>
      </c>
      <c r="C48" s="13" t="s">
        <v>374</v>
      </c>
      <c r="D48" s="14" t="s">
        <v>262</v>
      </c>
      <c r="E48" s="11" t="s">
        <v>197</v>
      </c>
      <c r="F48" s="13" t="s">
        <v>375</v>
      </c>
      <c r="G48" s="11"/>
      <c r="H48" s="11"/>
      <c r="I48" s="11"/>
      <c r="J48" s="11"/>
      <c r="K48" s="11" t="s">
        <v>87</v>
      </c>
      <c r="L48" s="13" t="s">
        <v>273</v>
      </c>
      <c r="M48" s="13" t="s">
        <v>376</v>
      </c>
      <c r="N48" s="13" t="s">
        <v>377</v>
      </c>
      <c r="O48" s="11" t="s">
        <v>193</v>
      </c>
      <c r="P48" s="11" t="s">
        <v>132</v>
      </c>
      <c r="Q48" s="13" t="s">
        <v>378</v>
      </c>
      <c r="R48" s="15" t="s">
        <v>234</v>
      </c>
      <c r="S48" s="13" t="s">
        <v>379</v>
      </c>
      <c r="T48" s="16" t="s">
        <v>95</v>
      </c>
      <c r="U48" s="16"/>
    </row>
    <row r="49" customFormat="false" ht="23.85" hidden="false" customHeight="false" outlineLevel="0" collapsed="false">
      <c r="A49" s="11" t="n">
        <v>45</v>
      </c>
      <c r="B49" s="12" t="s">
        <v>380</v>
      </c>
      <c r="C49" s="17" t="s">
        <v>381</v>
      </c>
      <c r="D49" s="14" t="s">
        <v>262</v>
      </c>
      <c r="E49" s="11" t="s">
        <v>197</v>
      </c>
      <c r="F49" s="13" t="s">
        <v>382</v>
      </c>
      <c r="G49" s="11"/>
      <c r="H49" s="11"/>
      <c r="I49" s="11"/>
      <c r="J49" s="11"/>
      <c r="K49" s="11" t="s">
        <v>87</v>
      </c>
      <c r="L49" s="13" t="s">
        <v>273</v>
      </c>
      <c r="M49" s="13" t="s">
        <v>383</v>
      </c>
      <c r="N49" s="13" t="s">
        <v>202</v>
      </c>
      <c r="O49" s="11" t="s">
        <v>202</v>
      </c>
      <c r="P49" s="11" t="s">
        <v>166</v>
      </c>
      <c r="Q49" s="13" t="s">
        <v>384</v>
      </c>
      <c r="R49" s="15" t="s">
        <v>234</v>
      </c>
      <c r="S49" s="13" t="s">
        <v>379</v>
      </c>
      <c r="T49" s="16" t="s">
        <v>95</v>
      </c>
      <c r="U49" s="16"/>
    </row>
    <row r="50" customFormat="false" ht="23.85" hidden="false" customHeight="false" outlineLevel="0" collapsed="false">
      <c r="A50" s="11" t="n">
        <v>46</v>
      </c>
      <c r="B50" s="12" t="s">
        <v>385</v>
      </c>
      <c r="C50" s="13" t="s">
        <v>385</v>
      </c>
      <c r="D50" s="14" t="s">
        <v>262</v>
      </c>
      <c r="E50" s="11" t="s">
        <v>197</v>
      </c>
      <c r="F50" s="13" t="s">
        <v>386</v>
      </c>
      <c r="G50" s="11"/>
      <c r="H50" s="11"/>
      <c r="I50" s="11"/>
      <c r="J50" s="11"/>
      <c r="K50" s="11" t="s">
        <v>87</v>
      </c>
      <c r="L50" s="13" t="s">
        <v>273</v>
      </c>
      <c r="M50" s="13" t="s">
        <v>253</v>
      </c>
      <c r="N50" s="13" t="s">
        <v>387</v>
      </c>
      <c r="O50" s="11" t="s">
        <v>202</v>
      </c>
      <c r="P50" s="11" t="s">
        <v>166</v>
      </c>
      <c r="Q50" s="13" t="s">
        <v>388</v>
      </c>
      <c r="R50" s="15" t="s">
        <v>234</v>
      </c>
      <c r="S50" s="13" t="s">
        <v>379</v>
      </c>
      <c r="T50" s="16" t="s">
        <v>95</v>
      </c>
      <c r="U50" s="16"/>
    </row>
    <row r="51" customFormat="false" ht="23.85" hidden="false" customHeight="false" outlineLevel="0" collapsed="false">
      <c r="A51" s="11" t="n">
        <v>47</v>
      </c>
      <c r="B51" s="12" t="s">
        <v>389</v>
      </c>
      <c r="C51" s="13" t="s">
        <v>389</v>
      </c>
      <c r="D51" s="14" t="s">
        <v>262</v>
      </c>
      <c r="E51" s="11" t="s">
        <v>197</v>
      </c>
      <c r="F51" s="13" t="s">
        <v>386</v>
      </c>
      <c r="G51" s="11"/>
      <c r="H51" s="11"/>
      <c r="I51" s="11"/>
      <c r="J51" s="11"/>
      <c r="K51" s="11" t="s">
        <v>87</v>
      </c>
      <c r="L51" s="13" t="s">
        <v>273</v>
      </c>
      <c r="M51" s="13" t="s">
        <v>253</v>
      </c>
      <c r="N51" s="13" t="s">
        <v>387</v>
      </c>
      <c r="O51" s="11" t="s">
        <v>202</v>
      </c>
      <c r="P51" s="11" t="s">
        <v>166</v>
      </c>
      <c r="Q51" s="13" t="s">
        <v>388</v>
      </c>
      <c r="R51" s="15" t="s">
        <v>234</v>
      </c>
      <c r="S51" s="13" t="s">
        <v>379</v>
      </c>
      <c r="T51" s="16" t="s">
        <v>95</v>
      </c>
      <c r="U51" s="16"/>
    </row>
    <row r="52" customFormat="false" ht="23.85" hidden="false" customHeight="false" outlineLevel="0" collapsed="false">
      <c r="A52" s="11" t="n">
        <v>48</v>
      </c>
      <c r="B52" s="12" t="s">
        <v>390</v>
      </c>
      <c r="C52" s="17" t="s">
        <v>391</v>
      </c>
      <c r="D52" s="14" t="s">
        <v>262</v>
      </c>
      <c r="E52" s="11" t="s">
        <v>197</v>
      </c>
      <c r="F52" s="13" t="s">
        <v>386</v>
      </c>
      <c r="G52" s="11"/>
      <c r="H52" s="11"/>
      <c r="I52" s="11"/>
      <c r="J52" s="11"/>
      <c r="K52" s="11" t="s">
        <v>87</v>
      </c>
      <c r="L52" s="13" t="s">
        <v>273</v>
      </c>
      <c r="M52" s="13" t="s">
        <v>253</v>
      </c>
      <c r="N52" s="13" t="s">
        <v>387</v>
      </c>
      <c r="O52" s="11" t="s">
        <v>202</v>
      </c>
      <c r="P52" s="11" t="s">
        <v>166</v>
      </c>
      <c r="Q52" s="13" t="s">
        <v>388</v>
      </c>
      <c r="R52" s="15" t="s">
        <v>234</v>
      </c>
      <c r="S52" s="13" t="s">
        <v>379</v>
      </c>
      <c r="T52" s="16" t="s">
        <v>95</v>
      </c>
      <c r="U52" s="16"/>
    </row>
    <row r="53" customFormat="false" ht="23.85" hidden="false" customHeight="false" outlineLevel="0" collapsed="false">
      <c r="A53" s="11" t="n">
        <v>49</v>
      </c>
      <c r="B53" s="12" t="s">
        <v>392</v>
      </c>
      <c r="C53" s="13" t="s">
        <v>393</v>
      </c>
      <c r="D53" s="14" t="s">
        <v>394</v>
      </c>
      <c r="E53" s="11" t="s">
        <v>84</v>
      </c>
      <c r="F53" s="13" t="s">
        <v>395</v>
      </c>
      <c r="G53" s="11" t="s">
        <v>86</v>
      </c>
      <c r="H53" s="11" t="s">
        <v>86</v>
      </c>
      <c r="I53" s="11" t="s">
        <v>86</v>
      </c>
      <c r="J53" s="11" t="s">
        <v>86</v>
      </c>
      <c r="K53" s="11" t="s">
        <v>86</v>
      </c>
      <c r="L53" s="13" t="s">
        <v>246</v>
      </c>
      <c r="M53" s="13" t="s">
        <v>396</v>
      </c>
      <c r="N53" s="13" t="s">
        <v>397</v>
      </c>
      <c r="O53" s="11" t="s">
        <v>91</v>
      </c>
      <c r="P53" s="11" t="s">
        <v>132</v>
      </c>
      <c r="Q53" s="13" t="s">
        <v>187</v>
      </c>
      <c r="R53" s="15" t="s">
        <v>94</v>
      </c>
      <c r="S53" s="13"/>
      <c r="T53" s="16" t="s">
        <v>95</v>
      </c>
      <c r="U53" s="16"/>
    </row>
    <row r="54" customFormat="false" ht="46.25" hidden="false" customHeight="false" outlineLevel="0" collapsed="false">
      <c r="A54" s="11" t="n">
        <v>50</v>
      </c>
      <c r="B54" s="12" t="s">
        <v>398</v>
      </c>
      <c r="C54" s="17" t="s">
        <v>399</v>
      </c>
      <c r="D54" s="14" t="s">
        <v>394</v>
      </c>
      <c r="E54" s="11" t="s">
        <v>197</v>
      </c>
      <c r="F54" s="13" t="s">
        <v>400</v>
      </c>
      <c r="G54" s="11" t="s">
        <v>86</v>
      </c>
      <c r="H54" s="11" t="s">
        <v>87</v>
      </c>
      <c r="I54" s="11"/>
      <c r="J54" s="11" t="s">
        <v>86</v>
      </c>
      <c r="K54" s="11" t="s">
        <v>86</v>
      </c>
      <c r="L54" s="13" t="s">
        <v>401</v>
      </c>
      <c r="M54" s="13" t="s">
        <v>402</v>
      </c>
      <c r="N54" s="13" t="s">
        <v>403</v>
      </c>
      <c r="O54" s="11" t="s">
        <v>124</v>
      </c>
      <c r="P54" s="11" t="s">
        <v>132</v>
      </c>
      <c r="Q54" s="13" t="s">
        <v>404</v>
      </c>
      <c r="R54" s="15" t="s">
        <v>234</v>
      </c>
      <c r="S54" s="13" t="s">
        <v>405</v>
      </c>
      <c r="T54" s="16" t="s">
        <v>95</v>
      </c>
      <c r="U54" s="16"/>
    </row>
    <row r="55" customFormat="false" ht="57.45" hidden="false" customHeight="false" outlineLevel="0" collapsed="false">
      <c r="A55" s="11" t="n">
        <v>51</v>
      </c>
      <c r="B55" s="12" t="s">
        <v>406</v>
      </c>
      <c r="C55" s="13" t="s">
        <v>406</v>
      </c>
      <c r="D55" s="14" t="s">
        <v>394</v>
      </c>
      <c r="E55" s="11" t="s">
        <v>104</v>
      </c>
      <c r="F55" s="13" t="s">
        <v>407</v>
      </c>
      <c r="G55" s="11" t="s">
        <v>86</v>
      </c>
      <c r="H55" s="11" t="s">
        <v>86</v>
      </c>
      <c r="I55" s="11"/>
      <c r="J55" s="11" t="s">
        <v>86</v>
      </c>
      <c r="K55" s="11" t="s">
        <v>86</v>
      </c>
      <c r="L55" s="13" t="s">
        <v>408</v>
      </c>
      <c r="M55" s="13" t="s">
        <v>409</v>
      </c>
      <c r="N55" s="13" t="s">
        <v>410</v>
      </c>
      <c r="O55" s="11" t="s">
        <v>124</v>
      </c>
      <c r="P55" s="11" t="s">
        <v>92</v>
      </c>
      <c r="Q55" s="13" t="s">
        <v>411</v>
      </c>
      <c r="R55" s="15" t="s">
        <v>234</v>
      </c>
      <c r="S55" s="13" t="s">
        <v>412</v>
      </c>
      <c r="T55" s="16" t="s">
        <v>95</v>
      </c>
      <c r="U55" s="16"/>
    </row>
    <row r="56" customFormat="false" ht="36.55" hidden="false" customHeight="false" outlineLevel="0" collapsed="false">
      <c r="A56" s="11" t="n">
        <v>52</v>
      </c>
      <c r="B56" s="12" t="s">
        <v>413</v>
      </c>
      <c r="C56" s="13" t="s">
        <v>414</v>
      </c>
      <c r="D56" s="14" t="s">
        <v>394</v>
      </c>
      <c r="E56" s="11" t="s">
        <v>197</v>
      </c>
      <c r="F56" s="13" t="s">
        <v>272</v>
      </c>
      <c r="G56" s="11" t="s">
        <v>86</v>
      </c>
      <c r="H56" s="11" t="s">
        <v>86</v>
      </c>
      <c r="I56" s="11"/>
      <c r="J56" s="11"/>
      <c r="K56" s="11"/>
      <c r="L56" s="13" t="s">
        <v>415</v>
      </c>
      <c r="M56" s="13" t="s">
        <v>416</v>
      </c>
      <c r="N56" s="13" t="s">
        <v>417</v>
      </c>
      <c r="O56" s="11" t="s">
        <v>152</v>
      </c>
      <c r="P56" s="11" t="s">
        <v>132</v>
      </c>
      <c r="Q56" s="13" t="s">
        <v>418</v>
      </c>
      <c r="R56" s="11" t="s">
        <v>268</v>
      </c>
      <c r="S56" s="18" t="s">
        <v>419</v>
      </c>
      <c r="T56" s="16" t="s">
        <v>95</v>
      </c>
      <c r="U56" s="16"/>
    </row>
    <row r="57" customFormat="false" ht="35.05" hidden="false" customHeight="false" outlineLevel="0" collapsed="false">
      <c r="A57" s="11" t="n">
        <v>53</v>
      </c>
      <c r="B57" s="12" t="s">
        <v>420</v>
      </c>
      <c r="C57" s="13" t="s">
        <v>420</v>
      </c>
      <c r="D57" s="14" t="s">
        <v>394</v>
      </c>
      <c r="E57" s="11" t="s">
        <v>197</v>
      </c>
      <c r="F57" s="13" t="s">
        <v>272</v>
      </c>
      <c r="G57" s="11" t="s">
        <v>86</v>
      </c>
      <c r="H57" s="11"/>
      <c r="I57" s="11"/>
      <c r="J57" s="11"/>
      <c r="K57" s="11"/>
      <c r="L57" s="13" t="s">
        <v>421</v>
      </c>
      <c r="M57" s="13" t="s">
        <v>422</v>
      </c>
      <c r="N57" s="13" t="s">
        <v>423</v>
      </c>
      <c r="O57" s="11" t="s">
        <v>152</v>
      </c>
      <c r="P57" s="11" t="s">
        <v>92</v>
      </c>
      <c r="Q57" s="13" t="s">
        <v>424</v>
      </c>
      <c r="R57" s="11" t="s">
        <v>268</v>
      </c>
      <c r="S57" s="13" t="s">
        <v>425</v>
      </c>
      <c r="T57" s="16" t="s">
        <v>95</v>
      </c>
      <c r="U57" s="16"/>
    </row>
    <row r="58" customFormat="false" ht="35.05" hidden="false" customHeight="false" outlineLevel="0" collapsed="false">
      <c r="A58" s="11" t="n">
        <v>54</v>
      </c>
      <c r="B58" s="12" t="s">
        <v>426</v>
      </c>
      <c r="C58" s="17" t="s">
        <v>427</v>
      </c>
      <c r="D58" s="14" t="s">
        <v>394</v>
      </c>
      <c r="E58" s="11" t="s">
        <v>104</v>
      </c>
      <c r="F58" s="13" t="s">
        <v>428</v>
      </c>
      <c r="G58" s="11" t="s">
        <v>86</v>
      </c>
      <c r="H58" s="11" t="s">
        <v>86</v>
      </c>
      <c r="I58" s="11"/>
      <c r="J58" s="11"/>
      <c r="K58" s="11"/>
      <c r="L58" s="13" t="s">
        <v>429</v>
      </c>
      <c r="M58" s="13" t="s">
        <v>430</v>
      </c>
      <c r="N58" s="13" t="s">
        <v>431</v>
      </c>
      <c r="O58" s="11" t="s">
        <v>152</v>
      </c>
      <c r="P58" s="11" t="s">
        <v>132</v>
      </c>
      <c r="Q58" s="13" t="s">
        <v>432</v>
      </c>
      <c r="R58" s="11" t="s">
        <v>268</v>
      </c>
      <c r="S58" s="13"/>
      <c r="T58" s="16" t="s">
        <v>95</v>
      </c>
      <c r="U58" s="16"/>
    </row>
    <row r="59" customFormat="false" ht="25.35" hidden="false" customHeight="false" outlineLevel="0" collapsed="false">
      <c r="A59" s="11" t="n">
        <v>55</v>
      </c>
      <c r="B59" s="12" t="s">
        <v>433</v>
      </c>
      <c r="C59" s="17" t="s">
        <v>434</v>
      </c>
      <c r="D59" s="14" t="s">
        <v>394</v>
      </c>
      <c r="E59" s="11" t="s">
        <v>197</v>
      </c>
      <c r="F59" s="13" t="s">
        <v>435</v>
      </c>
      <c r="G59" s="11" t="s">
        <v>86</v>
      </c>
      <c r="H59" s="11" t="s">
        <v>86</v>
      </c>
      <c r="I59" s="11"/>
      <c r="J59" s="11" t="s">
        <v>86</v>
      </c>
      <c r="K59" s="11"/>
      <c r="L59" s="13" t="s">
        <v>436</v>
      </c>
      <c r="M59" s="13" t="s">
        <v>437</v>
      </c>
      <c r="N59" s="13" t="s">
        <v>438</v>
      </c>
      <c r="O59" s="11" t="s">
        <v>152</v>
      </c>
      <c r="P59" s="11" t="s">
        <v>132</v>
      </c>
      <c r="Q59" s="13" t="s">
        <v>187</v>
      </c>
      <c r="R59" s="15" t="s">
        <v>94</v>
      </c>
      <c r="S59" s="13"/>
      <c r="T59" s="16" t="s">
        <v>95</v>
      </c>
      <c r="U59" s="16"/>
    </row>
    <row r="60" customFormat="false" ht="23.85" hidden="false" customHeight="false" outlineLevel="0" collapsed="false">
      <c r="A60" s="11" t="n">
        <v>56</v>
      </c>
      <c r="B60" s="12" t="s">
        <v>439</v>
      </c>
      <c r="C60" s="13" t="s">
        <v>439</v>
      </c>
      <c r="D60" s="14" t="s">
        <v>394</v>
      </c>
      <c r="E60" s="11" t="s">
        <v>104</v>
      </c>
      <c r="F60" s="13" t="s">
        <v>440</v>
      </c>
      <c r="G60" s="11" t="s">
        <v>86</v>
      </c>
      <c r="H60" s="11"/>
      <c r="I60" s="11"/>
      <c r="J60" s="11" t="s">
        <v>86</v>
      </c>
      <c r="K60" s="11" t="s">
        <v>86</v>
      </c>
      <c r="L60" s="13" t="s">
        <v>441</v>
      </c>
      <c r="M60" s="13" t="s">
        <v>442</v>
      </c>
      <c r="N60" s="13" t="s">
        <v>443</v>
      </c>
      <c r="O60" s="11" t="s">
        <v>152</v>
      </c>
      <c r="P60" s="11" t="s">
        <v>92</v>
      </c>
      <c r="Q60" s="13" t="s">
        <v>187</v>
      </c>
      <c r="R60" s="15" t="s">
        <v>94</v>
      </c>
      <c r="S60" s="13"/>
      <c r="T60" s="16" t="s">
        <v>95</v>
      </c>
      <c r="U60" s="16"/>
    </row>
    <row r="61" customFormat="false" ht="23.85" hidden="false" customHeight="false" outlineLevel="0" collapsed="false">
      <c r="A61" s="11" t="n">
        <v>57</v>
      </c>
      <c r="B61" s="12" t="s">
        <v>444</v>
      </c>
      <c r="C61" s="13" t="s">
        <v>445</v>
      </c>
      <c r="D61" s="14" t="s">
        <v>394</v>
      </c>
      <c r="E61" s="11" t="s">
        <v>298</v>
      </c>
      <c r="F61" s="13" t="s">
        <v>446</v>
      </c>
      <c r="G61" s="11" t="s">
        <v>86</v>
      </c>
      <c r="H61" s="11" t="s">
        <v>86</v>
      </c>
      <c r="I61" s="11"/>
      <c r="J61" s="11" t="s">
        <v>86</v>
      </c>
      <c r="K61" s="11" t="s">
        <v>86</v>
      </c>
      <c r="L61" s="13" t="s">
        <v>447</v>
      </c>
      <c r="M61" s="13" t="s">
        <v>448</v>
      </c>
      <c r="N61" s="13" t="s">
        <v>449</v>
      </c>
      <c r="O61" s="11" t="s">
        <v>152</v>
      </c>
      <c r="P61" s="11" t="s">
        <v>132</v>
      </c>
      <c r="Q61" s="13" t="s">
        <v>450</v>
      </c>
      <c r="R61" s="15" t="s">
        <v>94</v>
      </c>
      <c r="S61" s="13" t="s">
        <v>451</v>
      </c>
      <c r="T61" s="16" t="s">
        <v>95</v>
      </c>
      <c r="U61" s="16"/>
    </row>
    <row r="62" customFormat="false" ht="46.25" hidden="false" customHeight="false" outlineLevel="0" collapsed="false">
      <c r="A62" s="11" t="n">
        <v>58</v>
      </c>
      <c r="B62" s="12" t="s">
        <v>452</v>
      </c>
      <c r="C62" s="17" t="s">
        <v>453</v>
      </c>
      <c r="D62" s="14" t="s">
        <v>394</v>
      </c>
      <c r="E62" s="11" t="s">
        <v>197</v>
      </c>
      <c r="F62" s="13" t="s">
        <v>454</v>
      </c>
      <c r="G62" s="11" t="s">
        <v>86</v>
      </c>
      <c r="H62" s="11"/>
      <c r="I62" s="11" t="s">
        <v>86</v>
      </c>
      <c r="J62" s="11" t="s">
        <v>86</v>
      </c>
      <c r="K62" s="11"/>
      <c r="L62" s="13" t="s">
        <v>286</v>
      </c>
      <c r="M62" s="13" t="s">
        <v>455</v>
      </c>
      <c r="N62" s="13" t="s">
        <v>456</v>
      </c>
      <c r="O62" s="11" t="s">
        <v>152</v>
      </c>
      <c r="P62" s="11" t="s">
        <v>132</v>
      </c>
      <c r="Q62" s="13" t="s">
        <v>457</v>
      </c>
      <c r="R62" s="15" t="s">
        <v>234</v>
      </c>
      <c r="S62" s="13" t="s">
        <v>405</v>
      </c>
      <c r="T62" s="16" t="s">
        <v>95</v>
      </c>
      <c r="U62" s="16"/>
    </row>
    <row r="63" customFormat="false" ht="35.05" hidden="false" customHeight="false" outlineLevel="0" collapsed="false">
      <c r="A63" s="11" t="n">
        <v>59</v>
      </c>
      <c r="B63" s="12" t="s">
        <v>458</v>
      </c>
      <c r="C63" s="17" t="s">
        <v>459</v>
      </c>
      <c r="D63" s="14" t="s">
        <v>394</v>
      </c>
      <c r="E63" s="11" t="s">
        <v>197</v>
      </c>
      <c r="F63" s="13" t="s">
        <v>460</v>
      </c>
      <c r="G63" s="11" t="s">
        <v>86</v>
      </c>
      <c r="H63" s="11" t="s">
        <v>86</v>
      </c>
      <c r="I63" s="11"/>
      <c r="J63" s="11" t="s">
        <v>86</v>
      </c>
      <c r="K63" s="11" t="s">
        <v>86</v>
      </c>
      <c r="L63" s="13" t="s">
        <v>286</v>
      </c>
      <c r="M63" s="13" t="s">
        <v>461</v>
      </c>
      <c r="N63" s="13" t="s">
        <v>462</v>
      </c>
      <c r="O63" s="11" t="s">
        <v>152</v>
      </c>
      <c r="P63" s="11" t="s">
        <v>132</v>
      </c>
      <c r="Q63" s="13" t="s">
        <v>463</v>
      </c>
      <c r="R63" s="15" t="s">
        <v>234</v>
      </c>
      <c r="S63" s="13" t="s">
        <v>405</v>
      </c>
      <c r="T63" s="16" t="s">
        <v>95</v>
      </c>
      <c r="U63" s="16"/>
    </row>
    <row r="64" customFormat="false" ht="23.85" hidden="false" customHeight="false" outlineLevel="0" collapsed="false">
      <c r="A64" s="11" t="n">
        <v>60</v>
      </c>
      <c r="B64" s="12" t="s">
        <v>464</v>
      </c>
      <c r="C64" s="13" t="s">
        <v>465</v>
      </c>
      <c r="D64" s="14" t="s">
        <v>394</v>
      </c>
      <c r="E64" s="11" t="s">
        <v>197</v>
      </c>
      <c r="F64" s="13" t="s">
        <v>466</v>
      </c>
      <c r="G64" s="11" t="s">
        <v>86</v>
      </c>
      <c r="H64" s="11"/>
      <c r="I64" s="11" t="s">
        <v>86</v>
      </c>
      <c r="J64" s="11" t="s">
        <v>86</v>
      </c>
      <c r="K64" s="11"/>
      <c r="L64" s="13" t="s">
        <v>286</v>
      </c>
      <c r="M64" s="13" t="s">
        <v>467</v>
      </c>
      <c r="N64" s="13" t="s">
        <v>468</v>
      </c>
      <c r="O64" s="11" t="s">
        <v>152</v>
      </c>
      <c r="P64" s="11" t="s">
        <v>92</v>
      </c>
      <c r="Q64" s="13" t="s">
        <v>469</v>
      </c>
      <c r="R64" s="15" t="s">
        <v>234</v>
      </c>
      <c r="S64" s="13" t="s">
        <v>412</v>
      </c>
      <c r="T64" s="16" t="s">
        <v>95</v>
      </c>
      <c r="U64" s="16"/>
    </row>
    <row r="65" customFormat="false" ht="23.85" hidden="false" customHeight="false" outlineLevel="0" collapsed="false">
      <c r="A65" s="11" t="n">
        <v>61</v>
      </c>
      <c r="B65" s="12" t="s">
        <v>470</v>
      </c>
      <c r="C65" s="17" t="s">
        <v>471</v>
      </c>
      <c r="D65" s="14" t="s">
        <v>394</v>
      </c>
      <c r="E65" s="11" t="s">
        <v>197</v>
      </c>
      <c r="F65" s="13" t="s">
        <v>472</v>
      </c>
      <c r="G65" s="11" t="s">
        <v>86</v>
      </c>
      <c r="H65" s="11" t="s">
        <v>86</v>
      </c>
      <c r="I65" s="11"/>
      <c r="J65" s="11" t="s">
        <v>86</v>
      </c>
      <c r="K65" s="11"/>
      <c r="L65" s="13" t="s">
        <v>473</v>
      </c>
      <c r="M65" s="13" t="s">
        <v>474</v>
      </c>
      <c r="N65" s="13" t="s">
        <v>475</v>
      </c>
      <c r="O65" s="11" t="s">
        <v>186</v>
      </c>
      <c r="P65" s="11" t="s">
        <v>132</v>
      </c>
      <c r="Q65" s="13" t="s">
        <v>476</v>
      </c>
      <c r="R65" s="15" t="s">
        <v>94</v>
      </c>
      <c r="S65" s="13"/>
      <c r="T65" s="16" t="s">
        <v>95</v>
      </c>
      <c r="U65" s="16"/>
    </row>
    <row r="66" customFormat="false" ht="23.85" hidden="false" customHeight="false" outlineLevel="0" collapsed="false">
      <c r="A66" s="11" t="n">
        <v>62</v>
      </c>
      <c r="B66" s="12" t="s">
        <v>477</v>
      </c>
      <c r="C66" s="13" t="s">
        <v>478</v>
      </c>
      <c r="D66" s="14" t="s">
        <v>394</v>
      </c>
      <c r="E66" s="11" t="s">
        <v>112</v>
      </c>
      <c r="F66" s="13" t="s">
        <v>447</v>
      </c>
      <c r="G66" s="11" t="s">
        <v>86</v>
      </c>
      <c r="H66" s="11" t="s">
        <v>86</v>
      </c>
      <c r="I66" s="11"/>
      <c r="J66" s="11" t="s">
        <v>86</v>
      </c>
      <c r="K66" s="11"/>
      <c r="L66" s="13" t="s">
        <v>447</v>
      </c>
      <c r="M66" s="13" t="s">
        <v>448</v>
      </c>
      <c r="N66" s="13" t="s">
        <v>449</v>
      </c>
      <c r="O66" s="11" t="s">
        <v>186</v>
      </c>
      <c r="P66" s="11" t="s">
        <v>132</v>
      </c>
      <c r="Q66" s="13" t="s">
        <v>450</v>
      </c>
      <c r="R66" s="15" t="s">
        <v>94</v>
      </c>
      <c r="S66" s="13"/>
      <c r="T66" s="16" t="s">
        <v>95</v>
      </c>
      <c r="U66" s="16"/>
    </row>
    <row r="67" customFormat="false" ht="35.05" hidden="false" customHeight="false" outlineLevel="0" collapsed="false">
      <c r="A67" s="11" t="n">
        <v>63</v>
      </c>
      <c r="B67" s="12" t="s">
        <v>479</v>
      </c>
      <c r="C67" s="17" t="s">
        <v>480</v>
      </c>
      <c r="D67" s="14" t="s">
        <v>394</v>
      </c>
      <c r="E67" s="11" t="s">
        <v>197</v>
      </c>
      <c r="F67" s="13" t="s">
        <v>481</v>
      </c>
      <c r="G67" s="11" t="s">
        <v>86</v>
      </c>
      <c r="H67" s="11"/>
      <c r="I67" s="11"/>
      <c r="J67" s="11" t="s">
        <v>86</v>
      </c>
      <c r="K67" s="11" t="s">
        <v>86</v>
      </c>
      <c r="L67" s="13" t="s">
        <v>286</v>
      </c>
      <c r="M67" s="13" t="s">
        <v>482</v>
      </c>
      <c r="N67" s="13" t="s">
        <v>483</v>
      </c>
      <c r="O67" s="11" t="s">
        <v>186</v>
      </c>
      <c r="P67" s="11" t="s">
        <v>166</v>
      </c>
      <c r="Q67" s="13" t="s">
        <v>484</v>
      </c>
      <c r="R67" s="15" t="s">
        <v>234</v>
      </c>
      <c r="S67" s="13" t="s">
        <v>405</v>
      </c>
      <c r="T67" s="16" t="s">
        <v>95</v>
      </c>
      <c r="U67" s="16"/>
    </row>
    <row r="68" customFormat="false" ht="23.85" hidden="false" customHeight="false" outlineLevel="0" collapsed="false">
      <c r="A68" s="11" t="n">
        <v>64</v>
      </c>
      <c r="B68" s="12" t="s">
        <v>485</v>
      </c>
      <c r="C68" s="17" t="s">
        <v>486</v>
      </c>
      <c r="D68" s="14" t="s">
        <v>394</v>
      </c>
      <c r="E68" s="11" t="s">
        <v>197</v>
      </c>
      <c r="F68" s="13" t="s">
        <v>487</v>
      </c>
      <c r="G68" s="11" t="s">
        <v>86</v>
      </c>
      <c r="H68" s="11"/>
      <c r="I68" s="11"/>
      <c r="J68" s="11" t="s">
        <v>86</v>
      </c>
      <c r="K68" s="11"/>
      <c r="L68" s="13" t="s">
        <v>488</v>
      </c>
      <c r="M68" s="13" t="s">
        <v>489</v>
      </c>
      <c r="N68" s="13" t="s">
        <v>490</v>
      </c>
      <c r="O68" s="11" t="s">
        <v>186</v>
      </c>
      <c r="P68" s="11" t="s">
        <v>166</v>
      </c>
      <c r="Q68" s="13" t="s">
        <v>491</v>
      </c>
      <c r="R68" s="15" t="s">
        <v>234</v>
      </c>
      <c r="S68" s="13" t="s">
        <v>405</v>
      </c>
      <c r="T68" s="16" t="s">
        <v>95</v>
      </c>
      <c r="U68" s="16"/>
    </row>
    <row r="69" customFormat="false" ht="23.85" hidden="false" customHeight="false" outlineLevel="0" collapsed="false">
      <c r="A69" s="11" t="n">
        <v>65</v>
      </c>
      <c r="B69" s="12" t="s">
        <v>492</v>
      </c>
      <c r="C69" s="17" t="s">
        <v>493</v>
      </c>
      <c r="D69" s="14" t="s">
        <v>394</v>
      </c>
      <c r="E69" s="11" t="s">
        <v>197</v>
      </c>
      <c r="F69" s="13" t="s">
        <v>494</v>
      </c>
      <c r="G69" s="11" t="s">
        <v>86</v>
      </c>
      <c r="H69" s="11"/>
      <c r="I69" s="11" t="s">
        <v>86</v>
      </c>
      <c r="J69" s="11" t="s">
        <v>86</v>
      </c>
      <c r="K69" s="11"/>
      <c r="L69" s="13" t="s">
        <v>286</v>
      </c>
      <c r="M69" s="13" t="s">
        <v>495</v>
      </c>
      <c r="N69" s="13" t="s">
        <v>496</v>
      </c>
      <c r="O69" s="11" t="s">
        <v>186</v>
      </c>
      <c r="P69" s="11" t="s">
        <v>166</v>
      </c>
      <c r="Q69" s="13" t="s">
        <v>497</v>
      </c>
      <c r="R69" s="15" t="s">
        <v>234</v>
      </c>
      <c r="S69" s="13" t="s">
        <v>412</v>
      </c>
      <c r="T69" s="16" t="s">
        <v>95</v>
      </c>
      <c r="U69" s="16"/>
    </row>
    <row r="70" customFormat="false" ht="23.85" hidden="false" customHeight="false" outlineLevel="0" collapsed="false">
      <c r="A70" s="11" t="n">
        <v>66</v>
      </c>
      <c r="B70" s="12" t="s">
        <v>498</v>
      </c>
      <c r="C70" s="17" t="s">
        <v>499</v>
      </c>
      <c r="D70" s="14" t="s">
        <v>394</v>
      </c>
      <c r="E70" s="11" t="s">
        <v>197</v>
      </c>
      <c r="F70" s="13" t="s">
        <v>500</v>
      </c>
      <c r="G70" s="11" t="s">
        <v>86</v>
      </c>
      <c r="H70" s="11"/>
      <c r="I70" s="11"/>
      <c r="J70" s="11" t="s">
        <v>86</v>
      </c>
      <c r="K70" s="11"/>
      <c r="L70" s="13" t="s">
        <v>286</v>
      </c>
      <c r="M70" s="13" t="s">
        <v>501</v>
      </c>
      <c r="N70" s="13" t="s">
        <v>502</v>
      </c>
      <c r="O70" s="11" t="s">
        <v>202</v>
      </c>
      <c r="P70" s="11" t="s">
        <v>166</v>
      </c>
      <c r="Q70" s="13" t="s">
        <v>503</v>
      </c>
      <c r="R70" s="15" t="s">
        <v>234</v>
      </c>
      <c r="S70" s="13" t="s">
        <v>405</v>
      </c>
      <c r="T70" s="16" t="s">
        <v>95</v>
      </c>
      <c r="U70" s="16"/>
    </row>
    <row r="71" customFormat="false" ht="23.85" hidden="false" customHeight="false" outlineLevel="0" collapsed="false">
      <c r="A71" s="11" t="n">
        <v>67</v>
      </c>
      <c r="B71" s="12" t="s">
        <v>504</v>
      </c>
      <c r="C71" s="17" t="s">
        <v>505</v>
      </c>
      <c r="D71" s="14" t="s">
        <v>394</v>
      </c>
      <c r="E71" s="11" t="s">
        <v>197</v>
      </c>
      <c r="F71" s="13" t="s">
        <v>506</v>
      </c>
      <c r="G71" s="11" t="s">
        <v>86</v>
      </c>
      <c r="H71" s="11"/>
      <c r="I71" s="11"/>
      <c r="J71" s="11" t="s">
        <v>86</v>
      </c>
      <c r="K71" s="11"/>
      <c r="L71" s="13" t="s">
        <v>488</v>
      </c>
      <c r="M71" s="13" t="s">
        <v>507</v>
      </c>
      <c r="N71" s="13" t="s">
        <v>202</v>
      </c>
      <c r="O71" s="11" t="s">
        <v>202</v>
      </c>
      <c r="P71" s="11" t="s">
        <v>166</v>
      </c>
      <c r="Q71" s="13" t="s">
        <v>491</v>
      </c>
      <c r="R71" s="15" t="s">
        <v>234</v>
      </c>
      <c r="S71" s="13" t="s">
        <v>405</v>
      </c>
      <c r="T71" s="16" t="s">
        <v>95</v>
      </c>
      <c r="U71" s="16"/>
    </row>
    <row r="72" customFormat="false" ht="23.85" hidden="false" customHeight="false" outlineLevel="0" collapsed="false">
      <c r="A72" s="11" t="n">
        <v>68</v>
      </c>
      <c r="B72" s="12" t="s">
        <v>508</v>
      </c>
      <c r="C72" s="17" t="s">
        <v>509</v>
      </c>
      <c r="D72" s="14" t="s">
        <v>394</v>
      </c>
      <c r="E72" s="11" t="s">
        <v>197</v>
      </c>
      <c r="F72" s="13" t="s">
        <v>510</v>
      </c>
      <c r="G72" s="11" t="s">
        <v>86</v>
      </c>
      <c r="H72" s="11"/>
      <c r="I72" s="11"/>
      <c r="J72" s="11" t="s">
        <v>86</v>
      </c>
      <c r="K72" s="11"/>
      <c r="L72" s="13" t="s">
        <v>511</v>
      </c>
      <c r="M72" s="13" t="s">
        <v>512</v>
      </c>
      <c r="N72" s="13" t="s">
        <v>202</v>
      </c>
      <c r="O72" s="11" t="s">
        <v>202</v>
      </c>
      <c r="P72" s="11" t="s">
        <v>166</v>
      </c>
      <c r="Q72" s="13" t="s">
        <v>253</v>
      </c>
      <c r="R72" s="15" t="s">
        <v>234</v>
      </c>
      <c r="S72" s="13" t="s">
        <v>405</v>
      </c>
      <c r="T72" s="16" t="s">
        <v>95</v>
      </c>
      <c r="U72" s="16"/>
    </row>
    <row r="73" customFormat="false" ht="23.85" hidden="false" customHeight="false" outlineLevel="0" collapsed="false">
      <c r="A73" s="11" t="n">
        <v>69</v>
      </c>
      <c r="B73" s="12" t="s">
        <v>513</v>
      </c>
      <c r="C73" s="13" t="s">
        <v>513</v>
      </c>
      <c r="D73" s="14" t="s">
        <v>394</v>
      </c>
      <c r="E73" s="11" t="s">
        <v>104</v>
      </c>
      <c r="F73" s="13" t="s">
        <v>514</v>
      </c>
      <c r="G73" s="11" t="s">
        <v>86</v>
      </c>
      <c r="H73" s="11"/>
      <c r="I73" s="11"/>
      <c r="J73" s="11" t="s">
        <v>86</v>
      </c>
      <c r="K73" s="11"/>
      <c r="L73" s="13" t="s">
        <v>246</v>
      </c>
      <c r="M73" s="13" t="s">
        <v>515</v>
      </c>
      <c r="N73" s="13" t="s">
        <v>516</v>
      </c>
      <c r="O73" s="11" t="s">
        <v>202</v>
      </c>
      <c r="P73" s="11" t="s">
        <v>166</v>
      </c>
      <c r="Q73" s="13" t="s">
        <v>497</v>
      </c>
      <c r="R73" s="15" t="s">
        <v>234</v>
      </c>
      <c r="S73" s="13" t="s">
        <v>405</v>
      </c>
      <c r="T73" s="16" t="s">
        <v>95</v>
      </c>
      <c r="U73" s="16"/>
    </row>
    <row r="74" customFormat="false" ht="35.05" hidden="false" customHeight="false" outlineLevel="0" collapsed="false">
      <c r="A74" s="11" t="n">
        <v>70</v>
      </c>
      <c r="B74" s="12" t="s">
        <v>517</v>
      </c>
      <c r="C74" s="17" t="s">
        <v>518</v>
      </c>
      <c r="D74" s="14" t="s">
        <v>519</v>
      </c>
      <c r="E74" s="11" t="s">
        <v>197</v>
      </c>
      <c r="F74" s="13" t="s">
        <v>520</v>
      </c>
      <c r="G74" s="11" t="s">
        <v>86</v>
      </c>
      <c r="H74" s="11" t="s">
        <v>86</v>
      </c>
      <c r="I74" s="11" t="s">
        <v>86</v>
      </c>
      <c r="J74" s="11" t="s">
        <v>86</v>
      </c>
      <c r="K74" s="11" t="s">
        <v>86</v>
      </c>
      <c r="L74" s="13" t="s">
        <v>521</v>
      </c>
      <c r="M74" s="13" t="s">
        <v>522</v>
      </c>
      <c r="N74" s="13" t="s">
        <v>523</v>
      </c>
      <c r="O74" s="11" t="s">
        <v>91</v>
      </c>
      <c r="P74" s="11" t="s">
        <v>92</v>
      </c>
      <c r="Q74" s="13" t="s">
        <v>524</v>
      </c>
      <c r="R74" s="15" t="s">
        <v>94</v>
      </c>
      <c r="S74" s="13"/>
      <c r="T74" s="16" t="s">
        <v>95</v>
      </c>
      <c r="U74" s="16"/>
    </row>
    <row r="75" customFormat="false" ht="23.85" hidden="false" customHeight="false" outlineLevel="0" collapsed="false">
      <c r="A75" s="11" t="n">
        <v>71</v>
      </c>
      <c r="B75" s="12" t="s">
        <v>525</v>
      </c>
      <c r="C75" s="17" t="s">
        <v>526</v>
      </c>
      <c r="D75" s="14" t="s">
        <v>519</v>
      </c>
      <c r="E75" s="11" t="s">
        <v>197</v>
      </c>
      <c r="F75" s="13" t="s">
        <v>527</v>
      </c>
      <c r="G75" s="11" t="s">
        <v>86</v>
      </c>
      <c r="H75" s="11" t="s">
        <v>86</v>
      </c>
      <c r="I75" s="11" t="s">
        <v>86</v>
      </c>
      <c r="J75" s="11" t="s">
        <v>86</v>
      </c>
      <c r="K75" s="11" t="s">
        <v>86</v>
      </c>
      <c r="L75" s="13" t="s">
        <v>521</v>
      </c>
      <c r="M75" s="13" t="s">
        <v>528</v>
      </c>
      <c r="N75" s="13" t="s">
        <v>529</v>
      </c>
      <c r="O75" s="11" t="s">
        <v>91</v>
      </c>
      <c r="P75" s="11" t="s">
        <v>92</v>
      </c>
      <c r="Q75" s="13" t="s">
        <v>524</v>
      </c>
      <c r="R75" s="15" t="s">
        <v>94</v>
      </c>
      <c r="S75" s="13"/>
      <c r="T75" s="16" t="s">
        <v>95</v>
      </c>
      <c r="U75" s="16"/>
    </row>
    <row r="76" customFormat="false" ht="23.85" hidden="false" customHeight="false" outlineLevel="0" collapsed="false">
      <c r="A76" s="11" t="n">
        <v>72</v>
      </c>
      <c r="B76" s="12" t="s">
        <v>530</v>
      </c>
      <c r="C76" s="13" t="s">
        <v>531</v>
      </c>
      <c r="D76" s="14" t="s">
        <v>519</v>
      </c>
      <c r="E76" s="11" t="s">
        <v>104</v>
      </c>
      <c r="F76" s="13" t="s">
        <v>532</v>
      </c>
      <c r="G76" s="11" t="s">
        <v>86</v>
      </c>
      <c r="H76" s="11" t="s">
        <v>86</v>
      </c>
      <c r="I76" s="11"/>
      <c r="J76" s="11" t="s">
        <v>86</v>
      </c>
      <c r="K76" s="11"/>
      <c r="L76" s="13" t="s">
        <v>286</v>
      </c>
      <c r="M76" s="13" t="s">
        <v>533</v>
      </c>
      <c r="N76" s="13" t="s">
        <v>534</v>
      </c>
      <c r="O76" s="11" t="s">
        <v>152</v>
      </c>
      <c r="P76" s="11" t="s">
        <v>132</v>
      </c>
      <c r="Q76" s="13" t="s">
        <v>187</v>
      </c>
      <c r="R76" s="15" t="s">
        <v>94</v>
      </c>
      <c r="S76" s="13"/>
      <c r="T76" s="16" t="s">
        <v>95</v>
      </c>
      <c r="U76" s="16"/>
    </row>
    <row r="77" customFormat="false" ht="23.85" hidden="false" customHeight="false" outlineLevel="0" collapsed="false">
      <c r="A77" s="11" t="n">
        <v>73</v>
      </c>
      <c r="B77" s="12" t="s">
        <v>535</v>
      </c>
      <c r="C77" s="17" t="s">
        <v>536</v>
      </c>
      <c r="D77" s="14" t="s">
        <v>519</v>
      </c>
      <c r="E77" s="11" t="s">
        <v>197</v>
      </c>
      <c r="F77" s="13" t="s">
        <v>537</v>
      </c>
      <c r="G77" s="11" t="s">
        <v>86</v>
      </c>
      <c r="H77" s="11" t="s">
        <v>86</v>
      </c>
      <c r="I77" s="11"/>
      <c r="J77" s="11" t="s">
        <v>86</v>
      </c>
      <c r="K77" s="11" t="s">
        <v>86</v>
      </c>
      <c r="L77" s="13" t="s">
        <v>488</v>
      </c>
      <c r="M77" s="13" t="s">
        <v>538</v>
      </c>
      <c r="N77" s="13" t="s">
        <v>539</v>
      </c>
      <c r="O77" s="11" t="s">
        <v>152</v>
      </c>
      <c r="P77" s="11" t="s">
        <v>166</v>
      </c>
      <c r="Q77" s="13" t="s">
        <v>187</v>
      </c>
      <c r="R77" s="15" t="s">
        <v>94</v>
      </c>
      <c r="S77" s="13"/>
      <c r="T77" s="16" t="s">
        <v>95</v>
      </c>
      <c r="U77" s="16"/>
    </row>
    <row r="78" customFormat="false" ht="35.05" hidden="false" customHeight="false" outlineLevel="0" collapsed="false">
      <c r="A78" s="11" t="n">
        <v>74</v>
      </c>
      <c r="B78" s="12" t="s">
        <v>540</v>
      </c>
      <c r="C78" s="13"/>
      <c r="D78" s="14" t="s">
        <v>541</v>
      </c>
      <c r="E78" s="11" t="s">
        <v>112</v>
      </c>
      <c r="F78" s="13" t="s">
        <v>542</v>
      </c>
      <c r="G78" s="11" t="s">
        <v>86</v>
      </c>
      <c r="H78" s="11"/>
      <c r="I78" s="11" t="s">
        <v>87</v>
      </c>
      <c r="J78" s="11"/>
      <c r="K78" s="11" t="s">
        <v>87</v>
      </c>
      <c r="L78" s="13"/>
      <c r="M78" s="13" t="s">
        <v>543</v>
      </c>
      <c r="N78" s="13" t="s">
        <v>544</v>
      </c>
      <c r="O78" s="11" t="s">
        <v>91</v>
      </c>
      <c r="P78" s="11" t="s">
        <v>132</v>
      </c>
      <c r="Q78" s="13" t="s">
        <v>276</v>
      </c>
      <c r="R78" s="11" t="s">
        <v>268</v>
      </c>
      <c r="S78" s="13"/>
      <c r="T78" s="16" t="s">
        <v>95</v>
      </c>
      <c r="U78" s="16"/>
    </row>
    <row r="79" customFormat="false" ht="23.85" hidden="false" customHeight="false" outlineLevel="0" collapsed="false">
      <c r="A79" s="11" t="n">
        <v>75</v>
      </c>
      <c r="B79" s="12" t="s">
        <v>545</v>
      </c>
      <c r="C79" s="17" t="s">
        <v>546</v>
      </c>
      <c r="D79" s="14" t="s">
        <v>541</v>
      </c>
      <c r="E79" s="11" t="s">
        <v>197</v>
      </c>
      <c r="F79" s="13" t="s">
        <v>272</v>
      </c>
      <c r="G79" s="11" t="s">
        <v>86</v>
      </c>
      <c r="H79" s="11"/>
      <c r="I79" s="11" t="s">
        <v>87</v>
      </c>
      <c r="J79" s="11"/>
      <c r="K79" s="11" t="s">
        <v>87</v>
      </c>
      <c r="L79" s="13" t="s">
        <v>547</v>
      </c>
      <c r="M79" s="13" t="s">
        <v>548</v>
      </c>
      <c r="N79" s="13" t="s">
        <v>549</v>
      </c>
      <c r="O79" s="11" t="s">
        <v>124</v>
      </c>
      <c r="P79" s="11" t="s">
        <v>92</v>
      </c>
      <c r="Q79" s="13" t="s">
        <v>550</v>
      </c>
      <c r="R79" s="11" t="s">
        <v>268</v>
      </c>
      <c r="S79" s="13" t="s">
        <v>551</v>
      </c>
      <c r="T79" s="16" t="s">
        <v>95</v>
      </c>
      <c r="U79" s="16"/>
    </row>
    <row r="80" customFormat="false" ht="23.85" hidden="false" customHeight="false" outlineLevel="0" collapsed="false">
      <c r="A80" s="11" t="n">
        <v>76</v>
      </c>
      <c r="B80" s="12" t="s">
        <v>552</v>
      </c>
      <c r="C80" s="17" t="s">
        <v>553</v>
      </c>
      <c r="D80" s="14" t="s">
        <v>541</v>
      </c>
      <c r="E80" s="11" t="s">
        <v>84</v>
      </c>
      <c r="F80" s="13" t="s">
        <v>554</v>
      </c>
      <c r="G80" s="11" t="s">
        <v>86</v>
      </c>
      <c r="H80" s="11"/>
      <c r="I80" s="11" t="s">
        <v>86</v>
      </c>
      <c r="J80" s="11"/>
      <c r="K80" s="11" t="s">
        <v>86</v>
      </c>
      <c r="L80" s="13" t="s">
        <v>286</v>
      </c>
      <c r="M80" s="13" t="s">
        <v>555</v>
      </c>
      <c r="N80" s="13" t="s">
        <v>556</v>
      </c>
      <c r="O80" s="11" t="s">
        <v>124</v>
      </c>
      <c r="P80" s="11" t="s">
        <v>92</v>
      </c>
      <c r="Q80" s="13" t="s">
        <v>557</v>
      </c>
      <c r="R80" s="15" t="s">
        <v>94</v>
      </c>
      <c r="S80" s="13"/>
      <c r="T80" s="16" t="s">
        <v>95</v>
      </c>
      <c r="U80" s="16"/>
    </row>
    <row r="81" customFormat="false" ht="35.05" hidden="false" customHeight="false" outlineLevel="0" collapsed="false">
      <c r="A81" s="11" t="n">
        <v>77</v>
      </c>
      <c r="B81" s="12" t="s">
        <v>558</v>
      </c>
      <c r="C81" s="17" t="s">
        <v>559</v>
      </c>
      <c r="D81" s="14" t="s">
        <v>541</v>
      </c>
      <c r="E81" s="11" t="s">
        <v>104</v>
      </c>
      <c r="F81" s="13" t="s">
        <v>560</v>
      </c>
      <c r="G81" s="11" t="s">
        <v>86</v>
      </c>
      <c r="H81" s="11"/>
      <c r="I81" s="11" t="s">
        <v>87</v>
      </c>
      <c r="J81" s="11"/>
      <c r="K81" s="11" t="s">
        <v>87</v>
      </c>
      <c r="L81" s="13" t="s">
        <v>561</v>
      </c>
      <c r="M81" s="13" t="s">
        <v>562</v>
      </c>
      <c r="N81" s="13" t="s">
        <v>563</v>
      </c>
      <c r="O81" s="11" t="s">
        <v>152</v>
      </c>
      <c r="P81" s="11" t="s">
        <v>166</v>
      </c>
      <c r="Q81" s="13" t="s">
        <v>564</v>
      </c>
      <c r="R81" s="11" t="s">
        <v>268</v>
      </c>
      <c r="S81" s="18" t="s">
        <v>565</v>
      </c>
      <c r="T81" s="16" t="s">
        <v>95</v>
      </c>
      <c r="U81" s="16"/>
    </row>
    <row r="82" customFormat="false" ht="35.05" hidden="false" customHeight="false" outlineLevel="0" collapsed="false">
      <c r="A82" s="11" t="n">
        <v>78</v>
      </c>
      <c r="B82" s="12" t="s">
        <v>566</v>
      </c>
      <c r="C82" s="13" t="s">
        <v>567</v>
      </c>
      <c r="D82" s="14" t="s">
        <v>541</v>
      </c>
      <c r="E82" s="11" t="s">
        <v>84</v>
      </c>
      <c r="F82" s="13" t="s">
        <v>568</v>
      </c>
      <c r="G82" s="11" t="s">
        <v>86</v>
      </c>
      <c r="H82" s="11"/>
      <c r="I82" s="11" t="s">
        <v>87</v>
      </c>
      <c r="J82" s="11"/>
      <c r="K82" s="11" t="s">
        <v>87</v>
      </c>
      <c r="L82" s="13" t="s">
        <v>569</v>
      </c>
      <c r="M82" s="13" t="s">
        <v>570</v>
      </c>
      <c r="N82" s="13" t="s">
        <v>571</v>
      </c>
      <c r="O82" s="11" t="s">
        <v>152</v>
      </c>
      <c r="P82" s="11" t="s">
        <v>132</v>
      </c>
      <c r="Q82" s="13" t="s">
        <v>432</v>
      </c>
      <c r="R82" s="11" t="s">
        <v>268</v>
      </c>
      <c r="S82" s="13"/>
      <c r="T82" s="16" t="s">
        <v>95</v>
      </c>
      <c r="U82" s="16"/>
    </row>
    <row r="83" customFormat="false" ht="23.85" hidden="false" customHeight="false" outlineLevel="0" collapsed="false">
      <c r="A83" s="11" t="n">
        <v>79</v>
      </c>
      <c r="B83" s="12" t="s">
        <v>572</v>
      </c>
      <c r="C83" s="13" t="s">
        <v>573</v>
      </c>
      <c r="D83" s="14" t="s">
        <v>541</v>
      </c>
      <c r="E83" s="11" t="s">
        <v>84</v>
      </c>
      <c r="F83" s="13" t="s">
        <v>574</v>
      </c>
      <c r="G83" s="11" t="s">
        <v>86</v>
      </c>
      <c r="H83" s="11"/>
      <c r="I83" s="11" t="s">
        <v>87</v>
      </c>
      <c r="J83" s="11"/>
      <c r="K83" s="11" t="s">
        <v>87</v>
      </c>
      <c r="L83" s="13" t="s">
        <v>575</v>
      </c>
      <c r="M83" s="13" t="s">
        <v>576</v>
      </c>
      <c r="N83" s="13" t="s">
        <v>577</v>
      </c>
      <c r="O83" s="11" t="s">
        <v>152</v>
      </c>
      <c r="P83" s="11" t="s">
        <v>132</v>
      </c>
      <c r="Q83" s="13" t="s">
        <v>432</v>
      </c>
      <c r="R83" s="11" t="s">
        <v>268</v>
      </c>
      <c r="S83" s="13"/>
      <c r="T83" s="16" t="s">
        <v>95</v>
      </c>
      <c r="U83" s="16"/>
    </row>
    <row r="84" customFormat="false" ht="23.85" hidden="false" customHeight="false" outlineLevel="0" collapsed="false">
      <c r="A84" s="11" t="n">
        <v>80</v>
      </c>
      <c r="B84" s="12" t="s">
        <v>578</v>
      </c>
      <c r="C84" s="13" t="s">
        <v>578</v>
      </c>
      <c r="D84" s="14" t="s">
        <v>541</v>
      </c>
      <c r="E84" s="11" t="s">
        <v>104</v>
      </c>
      <c r="F84" s="13" t="s">
        <v>579</v>
      </c>
      <c r="G84" s="11" t="s">
        <v>86</v>
      </c>
      <c r="H84" s="11"/>
      <c r="I84" s="11" t="s">
        <v>87</v>
      </c>
      <c r="J84" s="11"/>
      <c r="K84" s="11" t="s">
        <v>87</v>
      </c>
      <c r="L84" s="13"/>
      <c r="M84" s="13" t="s">
        <v>580</v>
      </c>
      <c r="N84" s="13" t="s">
        <v>581</v>
      </c>
      <c r="O84" s="11" t="s">
        <v>152</v>
      </c>
      <c r="P84" s="11" t="s">
        <v>92</v>
      </c>
      <c r="Q84" s="13" t="s">
        <v>582</v>
      </c>
      <c r="R84" s="11" t="s">
        <v>268</v>
      </c>
      <c r="S84" s="13"/>
      <c r="T84" s="16" t="s">
        <v>95</v>
      </c>
      <c r="U84" s="16"/>
    </row>
    <row r="85" customFormat="false" ht="23.85" hidden="false" customHeight="false" outlineLevel="0" collapsed="false">
      <c r="A85" s="11" t="n">
        <v>81</v>
      </c>
      <c r="B85" s="12" t="s">
        <v>583</v>
      </c>
      <c r="C85" s="13"/>
      <c r="D85" s="14" t="s">
        <v>541</v>
      </c>
      <c r="E85" s="11" t="s">
        <v>112</v>
      </c>
      <c r="F85" s="13" t="s">
        <v>584</v>
      </c>
      <c r="G85" s="11" t="s">
        <v>86</v>
      </c>
      <c r="H85" s="11"/>
      <c r="I85" s="11" t="s">
        <v>87</v>
      </c>
      <c r="J85" s="11"/>
      <c r="K85" s="11" t="s">
        <v>87</v>
      </c>
      <c r="L85" s="13"/>
      <c r="M85" s="13" t="s">
        <v>585</v>
      </c>
      <c r="N85" s="13" t="s">
        <v>586</v>
      </c>
      <c r="O85" s="11" t="s">
        <v>152</v>
      </c>
      <c r="P85" s="11" t="s">
        <v>92</v>
      </c>
      <c r="Q85" s="13" t="s">
        <v>550</v>
      </c>
      <c r="R85" s="11" t="s">
        <v>268</v>
      </c>
      <c r="S85" s="13"/>
      <c r="T85" s="16" t="s">
        <v>95</v>
      </c>
      <c r="U85" s="16"/>
    </row>
    <row r="86" customFormat="false" ht="23.85" hidden="false" customHeight="false" outlineLevel="0" collapsed="false">
      <c r="A86" s="11" t="n">
        <v>82</v>
      </c>
      <c r="B86" s="12" t="s">
        <v>587</v>
      </c>
      <c r="C86" s="13" t="s">
        <v>587</v>
      </c>
      <c r="D86" s="14" t="s">
        <v>541</v>
      </c>
      <c r="E86" s="11" t="s">
        <v>84</v>
      </c>
      <c r="F86" s="13" t="s">
        <v>588</v>
      </c>
      <c r="G86" s="11" t="s">
        <v>86</v>
      </c>
      <c r="H86" s="11"/>
      <c r="I86" s="11" t="s">
        <v>86</v>
      </c>
      <c r="J86" s="11"/>
      <c r="K86" s="11" t="s">
        <v>86</v>
      </c>
      <c r="L86" s="13" t="s">
        <v>488</v>
      </c>
      <c r="M86" s="13" t="s">
        <v>589</v>
      </c>
      <c r="N86" s="13" t="s">
        <v>590</v>
      </c>
      <c r="O86" s="11" t="s">
        <v>152</v>
      </c>
      <c r="P86" s="11" t="s">
        <v>132</v>
      </c>
      <c r="Q86" s="13" t="s">
        <v>187</v>
      </c>
      <c r="R86" s="15" t="s">
        <v>94</v>
      </c>
      <c r="S86" s="13"/>
      <c r="T86" s="16" t="s">
        <v>95</v>
      </c>
      <c r="U86" s="16"/>
    </row>
    <row r="87" customFormat="false" ht="23.85" hidden="false" customHeight="false" outlineLevel="0" collapsed="false">
      <c r="A87" s="11" t="n">
        <v>83</v>
      </c>
      <c r="B87" s="12" t="s">
        <v>591</v>
      </c>
      <c r="C87" s="13" t="s">
        <v>591</v>
      </c>
      <c r="D87" s="14" t="s">
        <v>541</v>
      </c>
      <c r="E87" s="11" t="s">
        <v>84</v>
      </c>
      <c r="F87" s="13" t="s">
        <v>592</v>
      </c>
      <c r="G87" s="11" t="s">
        <v>86</v>
      </c>
      <c r="H87" s="11"/>
      <c r="I87" s="11"/>
      <c r="J87" s="11" t="s">
        <v>86</v>
      </c>
      <c r="K87" s="11" t="s">
        <v>86</v>
      </c>
      <c r="L87" s="13" t="s">
        <v>488</v>
      </c>
      <c r="M87" s="13" t="s">
        <v>593</v>
      </c>
      <c r="N87" s="13" t="s">
        <v>594</v>
      </c>
      <c r="O87" s="11" t="s">
        <v>152</v>
      </c>
      <c r="P87" s="11" t="s">
        <v>132</v>
      </c>
      <c r="Q87" s="13" t="s">
        <v>595</v>
      </c>
      <c r="R87" s="15" t="s">
        <v>94</v>
      </c>
      <c r="S87" s="13"/>
      <c r="T87" s="16" t="s">
        <v>95</v>
      </c>
      <c r="U87" s="16"/>
    </row>
    <row r="88" customFormat="false" ht="35.05" hidden="false" customHeight="false" outlineLevel="0" collapsed="false">
      <c r="A88" s="11" t="n">
        <v>84</v>
      </c>
      <c r="B88" s="12" t="s">
        <v>596</v>
      </c>
      <c r="C88" s="13" t="s">
        <v>596</v>
      </c>
      <c r="D88" s="14" t="s">
        <v>541</v>
      </c>
      <c r="E88" s="11" t="s">
        <v>104</v>
      </c>
      <c r="F88" s="13" t="s">
        <v>597</v>
      </c>
      <c r="G88" s="11" t="s">
        <v>86</v>
      </c>
      <c r="H88" s="11"/>
      <c r="I88" s="11" t="s">
        <v>86</v>
      </c>
      <c r="J88" s="11"/>
      <c r="K88" s="11" t="s">
        <v>86</v>
      </c>
      <c r="L88" s="13" t="s">
        <v>286</v>
      </c>
      <c r="M88" s="13" t="s">
        <v>598</v>
      </c>
      <c r="N88" s="13" t="s">
        <v>599</v>
      </c>
      <c r="O88" s="11" t="s">
        <v>186</v>
      </c>
      <c r="P88" s="11" t="s">
        <v>166</v>
      </c>
      <c r="Q88" s="13" t="s">
        <v>497</v>
      </c>
      <c r="R88" s="15" t="s">
        <v>94</v>
      </c>
      <c r="S88" s="13"/>
      <c r="T88" s="16" t="s">
        <v>95</v>
      </c>
      <c r="U88" s="16"/>
    </row>
    <row r="89" customFormat="false" ht="23.85" hidden="false" customHeight="false" outlineLevel="0" collapsed="false">
      <c r="A89" s="11" t="n">
        <v>85</v>
      </c>
      <c r="B89" s="12" t="s">
        <v>600</v>
      </c>
      <c r="C89" s="13"/>
      <c r="D89" s="14" t="s">
        <v>541</v>
      </c>
      <c r="E89" s="11" t="s">
        <v>112</v>
      </c>
      <c r="F89" s="13" t="s">
        <v>601</v>
      </c>
      <c r="G89" s="11" t="s">
        <v>86</v>
      </c>
      <c r="H89" s="11"/>
      <c r="I89" s="11" t="s">
        <v>86</v>
      </c>
      <c r="J89" s="11" t="s">
        <v>86</v>
      </c>
      <c r="K89" s="11" t="s">
        <v>86</v>
      </c>
      <c r="L89" s="13" t="s">
        <v>286</v>
      </c>
      <c r="M89" s="13" t="s">
        <v>602</v>
      </c>
      <c r="N89" s="13" t="s">
        <v>603</v>
      </c>
      <c r="O89" s="11" t="s">
        <v>186</v>
      </c>
      <c r="P89" s="11" t="s">
        <v>132</v>
      </c>
      <c r="Q89" s="13" t="s">
        <v>604</v>
      </c>
      <c r="R89" s="15" t="s">
        <v>94</v>
      </c>
      <c r="S89" s="13"/>
      <c r="T89" s="16" t="s">
        <v>95</v>
      </c>
      <c r="U89" s="16"/>
    </row>
    <row r="90" customFormat="false" ht="23.85" hidden="false" customHeight="false" outlineLevel="0" collapsed="false">
      <c r="A90" s="11" t="n">
        <v>86</v>
      </c>
      <c r="B90" s="12" t="s">
        <v>605</v>
      </c>
      <c r="C90" s="13" t="s">
        <v>605</v>
      </c>
      <c r="D90" s="14" t="s">
        <v>541</v>
      </c>
      <c r="E90" s="11" t="s">
        <v>84</v>
      </c>
      <c r="F90" s="13" t="s">
        <v>606</v>
      </c>
      <c r="G90" s="11"/>
      <c r="H90" s="11"/>
      <c r="I90" s="11" t="s">
        <v>86</v>
      </c>
      <c r="J90" s="11"/>
      <c r="K90" s="11" t="s">
        <v>86</v>
      </c>
      <c r="L90" s="13" t="s">
        <v>607</v>
      </c>
      <c r="M90" s="13" t="s">
        <v>608</v>
      </c>
      <c r="N90" s="13" t="s">
        <v>609</v>
      </c>
      <c r="O90" s="11" t="s">
        <v>186</v>
      </c>
      <c r="P90" s="11" t="s">
        <v>92</v>
      </c>
      <c r="Q90" s="13" t="s">
        <v>610</v>
      </c>
      <c r="R90" s="15" t="s">
        <v>234</v>
      </c>
      <c r="S90" s="13" t="s">
        <v>611</v>
      </c>
      <c r="T90" s="16" t="s">
        <v>95</v>
      </c>
      <c r="U90" s="16"/>
    </row>
    <row r="91" customFormat="false" ht="23.85" hidden="false" customHeight="false" outlineLevel="0" collapsed="false">
      <c r="A91" s="11" t="n">
        <v>87</v>
      </c>
      <c r="B91" s="12" t="s">
        <v>612</v>
      </c>
      <c r="C91" s="13" t="s">
        <v>612</v>
      </c>
      <c r="D91" s="14" t="s">
        <v>541</v>
      </c>
      <c r="E91" s="11" t="s">
        <v>84</v>
      </c>
      <c r="F91" s="13" t="s">
        <v>613</v>
      </c>
      <c r="G91" s="11"/>
      <c r="H91" s="11"/>
      <c r="I91" s="11" t="s">
        <v>86</v>
      </c>
      <c r="J91" s="11"/>
      <c r="K91" s="11" t="s">
        <v>86</v>
      </c>
      <c r="L91" s="13" t="s">
        <v>607</v>
      </c>
      <c r="M91" s="13" t="s">
        <v>253</v>
      </c>
      <c r="N91" s="13" t="s">
        <v>614</v>
      </c>
      <c r="O91" s="11" t="s">
        <v>193</v>
      </c>
      <c r="P91" s="11" t="s">
        <v>166</v>
      </c>
      <c r="Q91" s="13" t="s">
        <v>497</v>
      </c>
      <c r="R91" s="15" t="s">
        <v>234</v>
      </c>
      <c r="S91" s="13" t="s">
        <v>611</v>
      </c>
      <c r="T91" s="16" t="s">
        <v>95</v>
      </c>
      <c r="U91" s="16"/>
    </row>
    <row r="92" customFormat="false" ht="23.85" hidden="false" customHeight="false" outlineLevel="0" collapsed="false">
      <c r="A92" s="11" t="n">
        <v>88</v>
      </c>
      <c r="B92" s="12" t="s">
        <v>615</v>
      </c>
      <c r="C92" s="13" t="s">
        <v>615</v>
      </c>
      <c r="D92" s="14" t="s">
        <v>541</v>
      </c>
      <c r="E92" s="11" t="s">
        <v>84</v>
      </c>
      <c r="F92" s="13" t="s">
        <v>616</v>
      </c>
      <c r="G92" s="11"/>
      <c r="H92" s="11"/>
      <c r="I92" s="11" t="s">
        <v>86</v>
      </c>
      <c r="J92" s="11"/>
      <c r="K92" s="11" t="s">
        <v>86</v>
      </c>
      <c r="L92" s="13" t="s">
        <v>607</v>
      </c>
      <c r="M92" s="13" t="s">
        <v>253</v>
      </c>
      <c r="N92" s="13" t="s">
        <v>614</v>
      </c>
      <c r="O92" s="11" t="s">
        <v>193</v>
      </c>
      <c r="P92" s="11" t="s">
        <v>166</v>
      </c>
      <c r="Q92" s="13" t="s">
        <v>497</v>
      </c>
      <c r="R92" s="15" t="s">
        <v>234</v>
      </c>
      <c r="S92" s="13" t="s">
        <v>611</v>
      </c>
      <c r="T92" s="16" t="s">
        <v>95</v>
      </c>
      <c r="U92" s="16"/>
    </row>
    <row r="93" customFormat="false" ht="23.85" hidden="false" customHeight="false" outlineLevel="0" collapsed="false">
      <c r="A93" s="11" t="n">
        <v>89</v>
      </c>
      <c r="B93" s="12" t="s">
        <v>617</v>
      </c>
      <c r="C93" s="17" t="s">
        <v>618</v>
      </c>
      <c r="D93" s="14" t="s">
        <v>619</v>
      </c>
      <c r="E93" s="11" t="s">
        <v>197</v>
      </c>
      <c r="F93" s="13" t="s">
        <v>620</v>
      </c>
      <c r="G93" s="11" t="s">
        <v>86</v>
      </c>
      <c r="H93" s="11"/>
      <c r="I93" s="11"/>
      <c r="J93" s="11" t="s">
        <v>86</v>
      </c>
      <c r="K93" s="11" t="s">
        <v>86</v>
      </c>
      <c r="L93" s="13" t="s">
        <v>621</v>
      </c>
      <c r="M93" s="13" t="s">
        <v>622</v>
      </c>
      <c r="N93" s="13" t="s">
        <v>623</v>
      </c>
      <c r="O93" s="11" t="s">
        <v>152</v>
      </c>
      <c r="P93" s="11" t="s">
        <v>92</v>
      </c>
      <c r="Q93" s="13" t="s">
        <v>624</v>
      </c>
      <c r="R93" s="15" t="s">
        <v>94</v>
      </c>
      <c r="S93" s="13"/>
      <c r="T93" s="16" t="s">
        <v>95</v>
      </c>
      <c r="U93" s="16"/>
    </row>
    <row r="94" customFormat="false" ht="23.85" hidden="false" customHeight="false" outlineLevel="0" collapsed="false">
      <c r="A94" s="11" t="n">
        <v>90</v>
      </c>
      <c r="B94" s="12" t="s">
        <v>625</v>
      </c>
      <c r="C94" s="17" t="s">
        <v>626</v>
      </c>
      <c r="D94" s="14" t="s">
        <v>619</v>
      </c>
      <c r="E94" s="11" t="s">
        <v>197</v>
      </c>
      <c r="F94" s="13" t="s">
        <v>627</v>
      </c>
      <c r="G94" s="11" t="s">
        <v>86</v>
      </c>
      <c r="H94" s="11"/>
      <c r="I94" s="11"/>
      <c r="J94" s="11" t="s">
        <v>86</v>
      </c>
      <c r="K94" s="11" t="s">
        <v>86</v>
      </c>
      <c r="L94" s="13" t="s">
        <v>628</v>
      </c>
      <c r="M94" s="13" t="s">
        <v>629</v>
      </c>
      <c r="N94" s="13" t="s">
        <v>630</v>
      </c>
      <c r="O94" s="11" t="s">
        <v>152</v>
      </c>
      <c r="P94" s="11" t="s">
        <v>92</v>
      </c>
      <c r="Q94" s="13" t="s">
        <v>631</v>
      </c>
      <c r="R94" s="15" t="s">
        <v>94</v>
      </c>
      <c r="S94" s="13"/>
      <c r="T94" s="16" t="s">
        <v>95</v>
      </c>
      <c r="U94" s="16"/>
    </row>
    <row r="95" customFormat="false" ht="23.85" hidden="false" customHeight="false" outlineLevel="0" collapsed="false">
      <c r="A95" s="11" t="n">
        <v>91</v>
      </c>
      <c r="B95" s="12" t="s">
        <v>632</v>
      </c>
      <c r="C95" s="17" t="s">
        <v>633</v>
      </c>
      <c r="D95" s="14" t="s">
        <v>619</v>
      </c>
      <c r="E95" s="11" t="s">
        <v>197</v>
      </c>
      <c r="F95" s="13" t="s">
        <v>634</v>
      </c>
      <c r="G95" s="11"/>
      <c r="H95" s="11"/>
      <c r="I95" s="11"/>
      <c r="J95" s="11"/>
      <c r="K95" s="11" t="s">
        <v>86</v>
      </c>
      <c r="L95" s="13" t="s">
        <v>246</v>
      </c>
      <c r="M95" s="13" t="s">
        <v>635</v>
      </c>
      <c r="N95" s="13" t="s">
        <v>636</v>
      </c>
      <c r="O95" s="11" t="s">
        <v>152</v>
      </c>
      <c r="P95" s="11" t="s">
        <v>132</v>
      </c>
      <c r="Q95" s="13" t="s">
        <v>637</v>
      </c>
      <c r="R95" s="15" t="s">
        <v>94</v>
      </c>
      <c r="S95" s="13"/>
      <c r="T95" s="16" t="s">
        <v>95</v>
      </c>
      <c r="U95" s="16"/>
    </row>
    <row r="96" customFormat="false" ht="35.05" hidden="false" customHeight="false" outlineLevel="0" collapsed="false">
      <c r="A96" s="11" t="n">
        <v>92</v>
      </c>
      <c r="B96" s="12" t="s">
        <v>638</v>
      </c>
      <c r="C96" s="17" t="s">
        <v>639</v>
      </c>
      <c r="D96" s="14" t="s">
        <v>619</v>
      </c>
      <c r="E96" s="11" t="s">
        <v>197</v>
      </c>
      <c r="F96" s="13" t="s">
        <v>640</v>
      </c>
      <c r="G96" s="11"/>
      <c r="H96" s="11"/>
      <c r="I96" s="11"/>
      <c r="J96" s="11"/>
      <c r="K96" s="11" t="s">
        <v>86</v>
      </c>
      <c r="L96" s="13" t="s">
        <v>246</v>
      </c>
      <c r="M96" s="13" t="s">
        <v>641</v>
      </c>
      <c r="N96" s="13" t="s">
        <v>642</v>
      </c>
      <c r="O96" s="11" t="s">
        <v>186</v>
      </c>
      <c r="P96" s="11" t="s">
        <v>166</v>
      </c>
      <c r="Q96" s="13" t="s">
        <v>643</v>
      </c>
      <c r="R96" s="15" t="s">
        <v>94</v>
      </c>
      <c r="S96" s="13"/>
      <c r="T96" s="16" t="s">
        <v>95</v>
      </c>
      <c r="U96" s="16"/>
    </row>
    <row r="97" customFormat="false" ht="23.85" hidden="false" customHeight="false" outlineLevel="0" collapsed="false">
      <c r="A97" s="11" t="n">
        <v>93</v>
      </c>
      <c r="B97" s="12" t="s">
        <v>644</v>
      </c>
      <c r="C97" s="17" t="s">
        <v>645</v>
      </c>
      <c r="D97" s="14" t="s">
        <v>619</v>
      </c>
      <c r="E97" s="11" t="s">
        <v>197</v>
      </c>
      <c r="F97" s="13" t="s">
        <v>646</v>
      </c>
      <c r="G97" s="11" t="s">
        <v>86</v>
      </c>
      <c r="H97" s="11"/>
      <c r="I97" s="11"/>
      <c r="J97" s="11"/>
      <c r="K97" s="11" t="s">
        <v>86</v>
      </c>
      <c r="L97" s="13" t="s">
        <v>647</v>
      </c>
      <c r="M97" s="13" t="s">
        <v>648</v>
      </c>
      <c r="N97" s="13" t="s">
        <v>649</v>
      </c>
      <c r="O97" s="11" t="s">
        <v>186</v>
      </c>
      <c r="P97" s="11" t="s">
        <v>132</v>
      </c>
      <c r="Q97" s="13" t="s">
        <v>650</v>
      </c>
      <c r="R97" s="15" t="s">
        <v>234</v>
      </c>
      <c r="S97" s="13" t="s">
        <v>651</v>
      </c>
      <c r="T97" s="16" t="s">
        <v>95</v>
      </c>
      <c r="U97" s="16"/>
    </row>
    <row r="98" customFormat="false" ht="23.85" hidden="false" customHeight="false" outlineLevel="0" collapsed="false">
      <c r="A98" s="11" t="n">
        <v>94</v>
      </c>
      <c r="B98" s="12" t="s">
        <v>652</v>
      </c>
      <c r="C98" s="17" t="s">
        <v>653</v>
      </c>
      <c r="D98" s="14" t="s">
        <v>619</v>
      </c>
      <c r="E98" s="11" t="s">
        <v>197</v>
      </c>
      <c r="F98" s="13" t="s">
        <v>654</v>
      </c>
      <c r="G98" s="11"/>
      <c r="H98" s="11"/>
      <c r="I98" s="11"/>
      <c r="J98" s="11"/>
      <c r="K98" s="11" t="s">
        <v>86</v>
      </c>
      <c r="L98" s="13" t="s">
        <v>655</v>
      </c>
      <c r="M98" s="13" t="s">
        <v>656</v>
      </c>
      <c r="N98" s="13" t="s">
        <v>657</v>
      </c>
      <c r="O98" s="11" t="s">
        <v>193</v>
      </c>
      <c r="P98" s="11" t="s">
        <v>132</v>
      </c>
      <c r="Q98" s="13" t="s">
        <v>658</v>
      </c>
      <c r="R98" s="15" t="s">
        <v>234</v>
      </c>
      <c r="S98" s="13" t="s">
        <v>651</v>
      </c>
      <c r="T98" s="16" t="s">
        <v>95</v>
      </c>
      <c r="U98" s="16"/>
    </row>
    <row r="99" customFormat="false" ht="23.85" hidden="false" customHeight="false" outlineLevel="0" collapsed="false">
      <c r="A99" s="11" t="n">
        <v>95</v>
      </c>
      <c r="B99" s="12" t="s">
        <v>659</v>
      </c>
      <c r="C99" s="17" t="s">
        <v>660</v>
      </c>
      <c r="D99" s="14" t="s">
        <v>619</v>
      </c>
      <c r="E99" s="11" t="s">
        <v>197</v>
      </c>
      <c r="F99" s="13" t="s">
        <v>661</v>
      </c>
      <c r="G99" s="11"/>
      <c r="H99" s="11"/>
      <c r="I99" s="11"/>
      <c r="J99" s="11"/>
      <c r="K99" s="11" t="s">
        <v>86</v>
      </c>
      <c r="L99" s="13" t="s">
        <v>246</v>
      </c>
      <c r="M99" s="13" t="s">
        <v>662</v>
      </c>
      <c r="N99" s="13" t="s">
        <v>663</v>
      </c>
      <c r="O99" s="11" t="s">
        <v>193</v>
      </c>
      <c r="P99" s="11" t="s">
        <v>166</v>
      </c>
      <c r="Q99" s="13" t="s">
        <v>497</v>
      </c>
      <c r="R99" s="15" t="s">
        <v>234</v>
      </c>
      <c r="S99" s="13" t="s">
        <v>651</v>
      </c>
      <c r="T99" s="16" t="s">
        <v>95</v>
      </c>
      <c r="U99" s="16"/>
    </row>
    <row r="100" customFormat="false" ht="23.85" hidden="false" customHeight="false" outlineLevel="0" collapsed="false">
      <c r="A100" s="11" t="n">
        <v>96</v>
      </c>
      <c r="B100" s="12" t="s">
        <v>664</v>
      </c>
      <c r="C100" s="17" t="s">
        <v>665</v>
      </c>
      <c r="D100" s="14" t="s">
        <v>619</v>
      </c>
      <c r="E100" s="11" t="s">
        <v>197</v>
      </c>
      <c r="F100" s="13" t="s">
        <v>666</v>
      </c>
      <c r="G100" s="11"/>
      <c r="H100" s="11"/>
      <c r="I100" s="11"/>
      <c r="J100" s="11"/>
      <c r="K100" s="11" t="s">
        <v>86</v>
      </c>
      <c r="L100" s="13" t="s">
        <v>667</v>
      </c>
      <c r="M100" s="13" t="s">
        <v>662</v>
      </c>
      <c r="N100" s="13" t="s">
        <v>663</v>
      </c>
      <c r="O100" s="11" t="s">
        <v>193</v>
      </c>
      <c r="P100" s="11" t="s">
        <v>166</v>
      </c>
      <c r="Q100" s="13" t="s">
        <v>497</v>
      </c>
      <c r="R100" s="15" t="s">
        <v>234</v>
      </c>
      <c r="S100" s="13" t="s">
        <v>651</v>
      </c>
      <c r="T100" s="16" t="s">
        <v>95</v>
      </c>
      <c r="U100" s="16"/>
    </row>
    <row r="101" customFormat="false" ht="23.85" hidden="false" customHeight="false" outlineLevel="0" collapsed="false">
      <c r="A101" s="11" t="n">
        <v>97</v>
      </c>
      <c r="B101" s="12" t="s">
        <v>668</v>
      </c>
      <c r="C101" s="17" t="s">
        <v>669</v>
      </c>
      <c r="D101" s="14" t="s">
        <v>619</v>
      </c>
      <c r="E101" s="11" t="s">
        <v>197</v>
      </c>
      <c r="F101" s="13" t="s">
        <v>670</v>
      </c>
      <c r="G101" s="11"/>
      <c r="H101" s="11"/>
      <c r="I101" s="11"/>
      <c r="J101" s="11"/>
      <c r="K101" s="11" t="s">
        <v>86</v>
      </c>
      <c r="L101" s="13" t="s">
        <v>286</v>
      </c>
      <c r="M101" s="13" t="s">
        <v>671</v>
      </c>
      <c r="N101" s="13" t="s">
        <v>672</v>
      </c>
      <c r="O101" s="11" t="s">
        <v>193</v>
      </c>
      <c r="P101" s="11" t="s">
        <v>132</v>
      </c>
      <c r="Q101" s="13" t="s">
        <v>673</v>
      </c>
      <c r="R101" s="15" t="s">
        <v>234</v>
      </c>
      <c r="S101" s="13" t="s">
        <v>651</v>
      </c>
      <c r="T101" s="16" t="s">
        <v>95</v>
      </c>
      <c r="U101" s="16"/>
    </row>
    <row r="102" customFormat="false" ht="23.85" hidden="false" customHeight="false" outlineLevel="0" collapsed="false">
      <c r="A102" s="11" t="n">
        <v>98</v>
      </c>
      <c r="B102" s="12" t="s">
        <v>674</v>
      </c>
      <c r="C102" s="13"/>
      <c r="D102" s="14" t="s">
        <v>619</v>
      </c>
      <c r="E102" s="11" t="s">
        <v>84</v>
      </c>
      <c r="F102" s="13" t="s">
        <v>675</v>
      </c>
      <c r="G102" s="11"/>
      <c r="H102" s="11"/>
      <c r="I102" s="11"/>
      <c r="J102" s="11"/>
      <c r="K102" s="11" t="s">
        <v>86</v>
      </c>
      <c r="L102" s="13" t="s">
        <v>190</v>
      </c>
      <c r="M102" s="13" t="s">
        <v>676</v>
      </c>
      <c r="N102" s="13" t="s">
        <v>677</v>
      </c>
      <c r="O102" s="11" t="s">
        <v>202</v>
      </c>
      <c r="P102" s="11" t="s">
        <v>166</v>
      </c>
      <c r="Q102" s="13" t="s">
        <v>678</v>
      </c>
      <c r="R102" s="15" t="s">
        <v>234</v>
      </c>
      <c r="S102" s="13" t="s">
        <v>679</v>
      </c>
      <c r="T102" s="16" t="s">
        <v>95</v>
      </c>
      <c r="U102" s="16"/>
    </row>
    <row r="103" customFormat="false" ht="26.85" hidden="false" customHeight="false" outlineLevel="0" collapsed="false">
      <c r="A103" s="11" t="n">
        <v>99</v>
      </c>
      <c r="B103" s="12" t="s">
        <v>680</v>
      </c>
      <c r="C103" s="17" t="s">
        <v>681</v>
      </c>
      <c r="D103" s="14" t="s">
        <v>619</v>
      </c>
      <c r="E103" s="11" t="s">
        <v>197</v>
      </c>
      <c r="F103" s="13" t="s">
        <v>682</v>
      </c>
      <c r="G103" s="11"/>
      <c r="H103" s="11"/>
      <c r="I103" s="11"/>
      <c r="J103" s="11"/>
      <c r="K103" s="11" t="s">
        <v>86</v>
      </c>
      <c r="L103" s="13" t="s">
        <v>683</v>
      </c>
      <c r="M103" s="13" t="s">
        <v>684</v>
      </c>
      <c r="N103" s="13" t="s">
        <v>685</v>
      </c>
      <c r="O103" s="11" t="s">
        <v>202</v>
      </c>
      <c r="P103" s="11" t="s">
        <v>132</v>
      </c>
      <c r="Q103" s="13" t="s">
        <v>686</v>
      </c>
      <c r="R103" s="15" t="s">
        <v>234</v>
      </c>
      <c r="S103" s="13" t="s">
        <v>235</v>
      </c>
      <c r="T103" s="16" t="s">
        <v>95</v>
      </c>
      <c r="U103" s="16"/>
    </row>
    <row r="104" customFormat="false" ht="35.05" hidden="false" customHeight="false" outlineLevel="0" collapsed="false">
      <c r="A104" s="11" t="n">
        <v>100</v>
      </c>
      <c r="B104" s="12" t="s">
        <v>687</v>
      </c>
      <c r="C104" s="17" t="s">
        <v>688</v>
      </c>
      <c r="D104" s="14" t="s">
        <v>689</v>
      </c>
      <c r="E104" s="11" t="s">
        <v>197</v>
      </c>
      <c r="F104" s="13" t="s">
        <v>690</v>
      </c>
      <c r="G104" s="11" t="s">
        <v>86</v>
      </c>
      <c r="H104" s="11"/>
      <c r="I104" s="11"/>
      <c r="J104" s="11"/>
      <c r="K104" s="11" t="s">
        <v>87</v>
      </c>
      <c r="L104" s="13" t="s">
        <v>691</v>
      </c>
      <c r="M104" s="13" t="s">
        <v>692</v>
      </c>
      <c r="N104" s="13" t="s">
        <v>693</v>
      </c>
      <c r="O104" s="11" t="s">
        <v>91</v>
      </c>
      <c r="P104" s="11" t="s">
        <v>92</v>
      </c>
      <c r="Q104" s="13" t="s">
        <v>694</v>
      </c>
      <c r="R104" s="11" t="s">
        <v>268</v>
      </c>
      <c r="S104" s="13"/>
      <c r="T104" s="16" t="s">
        <v>95</v>
      </c>
      <c r="U104" s="16"/>
    </row>
    <row r="105" customFormat="false" ht="23.85" hidden="false" customHeight="false" outlineLevel="0" collapsed="false">
      <c r="A105" s="11" t="n">
        <v>101</v>
      </c>
      <c r="B105" s="12" t="s">
        <v>695</v>
      </c>
      <c r="C105" s="17" t="s">
        <v>696</v>
      </c>
      <c r="D105" s="14" t="s">
        <v>689</v>
      </c>
      <c r="E105" s="11" t="s">
        <v>197</v>
      </c>
      <c r="F105" s="13" t="s">
        <v>272</v>
      </c>
      <c r="G105" s="11" t="s">
        <v>86</v>
      </c>
      <c r="H105" s="11"/>
      <c r="I105" s="11"/>
      <c r="J105" s="11"/>
      <c r="K105" s="11" t="s">
        <v>87</v>
      </c>
      <c r="L105" s="13" t="s">
        <v>286</v>
      </c>
      <c r="M105" s="13" t="s">
        <v>697</v>
      </c>
      <c r="N105" s="13" t="s">
        <v>698</v>
      </c>
      <c r="O105" s="11" t="s">
        <v>152</v>
      </c>
      <c r="P105" s="11" t="s">
        <v>92</v>
      </c>
      <c r="Q105" s="13" t="s">
        <v>699</v>
      </c>
      <c r="R105" s="11" t="s">
        <v>268</v>
      </c>
      <c r="S105" s="13"/>
      <c r="T105" s="16" t="s">
        <v>95</v>
      </c>
      <c r="U105" s="16"/>
    </row>
    <row r="106" customFormat="false" ht="23.85" hidden="false" customHeight="false" outlineLevel="0" collapsed="false">
      <c r="A106" s="11" t="n">
        <v>102</v>
      </c>
      <c r="B106" s="12" t="s">
        <v>700</v>
      </c>
      <c r="C106" s="17" t="s">
        <v>701</v>
      </c>
      <c r="D106" s="14" t="s">
        <v>689</v>
      </c>
      <c r="E106" s="11" t="s">
        <v>104</v>
      </c>
      <c r="F106" s="13" t="s">
        <v>702</v>
      </c>
      <c r="G106" s="11" t="s">
        <v>86</v>
      </c>
      <c r="H106" s="11"/>
      <c r="I106" s="11"/>
      <c r="J106" s="11"/>
      <c r="K106" s="11" t="s">
        <v>87</v>
      </c>
      <c r="L106" s="13"/>
      <c r="M106" s="13" t="s">
        <v>703</v>
      </c>
      <c r="N106" s="13" t="s">
        <v>704</v>
      </c>
      <c r="O106" s="11" t="s">
        <v>152</v>
      </c>
      <c r="P106" s="11" t="s">
        <v>92</v>
      </c>
      <c r="Q106" s="13" t="s">
        <v>550</v>
      </c>
      <c r="R106" s="11" t="s">
        <v>268</v>
      </c>
      <c r="S106" s="13"/>
      <c r="T106" s="16" t="s">
        <v>95</v>
      </c>
      <c r="U106" s="16"/>
    </row>
    <row r="107" customFormat="false" ht="23.85" hidden="false" customHeight="false" outlineLevel="0" collapsed="false">
      <c r="A107" s="11" t="n">
        <v>103</v>
      </c>
      <c r="B107" s="12" t="s">
        <v>705</v>
      </c>
      <c r="C107" s="13" t="s">
        <v>706</v>
      </c>
      <c r="D107" s="14" t="s">
        <v>689</v>
      </c>
      <c r="E107" s="11" t="s">
        <v>197</v>
      </c>
      <c r="F107" s="13" t="s">
        <v>272</v>
      </c>
      <c r="G107" s="11" t="s">
        <v>86</v>
      </c>
      <c r="H107" s="11"/>
      <c r="I107" s="11"/>
      <c r="J107" s="11"/>
      <c r="K107" s="11" t="s">
        <v>87</v>
      </c>
      <c r="L107" s="13" t="s">
        <v>575</v>
      </c>
      <c r="M107" s="13" t="s">
        <v>707</v>
      </c>
      <c r="N107" s="13" t="s">
        <v>708</v>
      </c>
      <c r="O107" s="11" t="s">
        <v>186</v>
      </c>
      <c r="P107" s="11" t="s">
        <v>166</v>
      </c>
      <c r="Q107" s="13" t="s">
        <v>709</v>
      </c>
      <c r="R107" s="11" t="s">
        <v>268</v>
      </c>
      <c r="S107" s="13"/>
      <c r="T107" s="16" t="s">
        <v>95</v>
      </c>
      <c r="U107" s="16"/>
    </row>
    <row r="108" customFormat="false" ht="23.85" hidden="false" customHeight="false" outlineLevel="0" collapsed="false">
      <c r="A108" s="11" t="n">
        <v>104</v>
      </c>
      <c r="B108" s="12" t="s">
        <v>710</v>
      </c>
      <c r="C108" s="17" t="s">
        <v>711</v>
      </c>
      <c r="D108" s="14" t="s">
        <v>689</v>
      </c>
      <c r="E108" s="11" t="s">
        <v>197</v>
      </c>
      <c r="F108" s="13" t="s">
        <v>272</v>
      </c>
      <c r="G108" s="11" t="s">
        <v>86</v>
      </c>
      <c r="H108" s="11"/>
      <c r="I108" s="11"/>
      <c r="J108" s="11"/>
      <c r="K108" s="11" t="s">
        <v>87</v>
      </c>
      <c r="L108" s="13" t="s">
        <v>488</v>
      </c>
      <c r="M108" s="13" t="s">
        <v>712</v>
      </c>
      <c r="N108" s="13" t="s">
        <v>713</v>
      </c>
      <c r="O108" s="11" t="s">
        <v>186</v>
      </c>
      <c r="P108" s="11" t="s">
        <v>166</v>
      </c>
      <c r="Q108" s="13" t="s">
        <v>709</v>
      </c>
      <c r="R108" s="11" t="s">
        <v>268</v>
      </c>
      <c r="S108" s="13"/>
      <c r="T108" s="16" t="s">
        <v>95</v>
      </c>
      <c r="U108" s="16"/>
    </row>
    <row r="109" customFormat="false" ht="23.85" hidden="false" customHeight="false" outlineLevel="0" collapsed="false">
      <c r="A109" s="11" t="n">
        <v>105</v>
      </c>
      <c r="B109" s="12" t="s">
        <v>714</v>
      </c>
      <c r="C109" s="17" t="s">
        <v>715</v>
      </c>
      <c r="D109" s="14" t="s">
        <v>689</v>
      </c>
      <c r="E109" s="11" t="s">
        <v>197</v>
      </c>
      <c r="F109" s="13" t="s">
        <v>272</v>
      </c>
      <c r="G109" s="11" t="s">
        <v>86</v>
      </c>
      <c r="H109" s="11"/>
      <c r="I109" s="11"/>
      <c r="J109" s="11"/>
      <c r="K109" s="11" t="s">
        <v>87</v>
      </c>
      <c r="L109" s="13" t="s">
        <v>488</v>
      </c>
      <c r="M109" s="13" t="s">
        <v>716</v>
      </c>
      <c r="N109" s="13" t="s">
        <v>713</v>
      </c>
      <c r="O109" s="11" t="s">
        <v>186</v>
      </c>
      <c r="P109" s="11" t="s">
        <v>166</v>
      </c>
      <c r="Q109" s="13" t="s">
        <v>709</v>
      </c>
      <c r="R109" s="11" t="s">
        <v>268</v>
      </c>
      <c r="S109" s="13"/>
      <c r="T109" s="16" t="s">
        <v>95</v>
      </c>
      <c r="U109" s="16"/>
    </row>
    <row r="110" customFormat="false" ht="35.05" hidden="false" customHeight="false" outlineLevel="0" collapsed="false">
      <c r="A110" s="11" t="n">
        <v>106</v>
      </c>
      <c r="B110" s="12" t="s">
        <v>717</v>
      </c>
      <c r="C110" s="17" t="s">
        <v>718</v>
      </c>
      <c r="D110" s="14" t="s">
        <v>689</v>
      </c>
      <c r="E110" s="11" t="s">
        <v>197</v>
      </c>
      <c r="F110" s="13" t="s">
        <v>719</v>
      </c>
      <c r="G110" s="11" t="s">
        <v>86</v>
      </c>
      <c r="H110" s="11"/>
      <c r="I110" s="11"/>
      <c r="J110" s="11"/>
      <c r="K110" s="11" t="s">
        <v>86</v>
      </c>
      <c r="L110" s="13" t="s">
        <v>286</v>
      </c>
      <c r="M110" s="13" t="s">
        <v>720</v>
      </c>
      <c r="N110" s="13" t="s">
        <v>721</v>
      </c>
      <c r="O110" s="11" t="s">
        <v>186</v>
      </c>
      <c r="P110" s="11" t="s">
        <v>166</v>
      </c>
      <c r="Q110" s="13" t="s">
        <v>497</v>
      </c>
      <c r="R110" s="15" t="s">
        <v>94</v>
      </c>
      <c r="S110" s="13"/>
      <c r="T110" s="16" t="s">
        <v>95</v>
      </c>
      <c r="U110" s="16"/>
    </row>
    <row r="111" customFormat="false" ht="35.05" hidden="false" customHeight="false" outlineLevel="0" collapsed="false">
      <c r="A111" s="11" t="n">
        <v>107</v>
      </c>
      <c r="B111" s="12" t="s">
        <v>722</v>
      </c>
      <c r="C111" s="17" t="s">
        <v>723</v>
      </c>
      <c r="D111" s="14" t="s">
        <v>724</v>
      </c>
      <c r="E111" s="11" t="s">
        <v>104</v>
      </c>
      <c r="F111" s="13" t="s">
        <v>725</v>
      </c>
      <c r="G111" s="11" t="s">
        <v>86</v>
      </c>
      <c r="H111" s="11" t="s">
        <v>86</v>
      </c>
      <c r="I111" s="11"/>
      <c r="J111" s="11"/>
      <c r="K111" s="11" t="s">
        <v>86</v>
      </c>
      <c r="L111" s="13" t="s">
        <v>726</v>
      </c>
      <c r="M111" s="13" t="s">
        <v>727</v>
      </c>
      <c r="N111" s="13" t="s">
        <v>728</v>
      </c>
      <c r="O111" s="11" t="s">
        <v>124</v>
      </c>
      <c r="P111" s="11" t="s">
        <v>92</v>
      </c>
      <c r="Q111" s="13" t="s">
        <v>187</v>
      </c>
      <c r="R111" s="15" t="s">
        <v>94</v>
      </c>
      <c r="S111" s="13"/>
      <c r="T111" s="16" t="s">
        <v>95</v>
      </c>
      <c r="U111" s="16"/>
    </row>
    <row r="112" customFormat="false" ht="35.05" hidden="false" customHeight="false" outlineLevel="0" collapsed="false">
      <c r="A112" s="11" t="n">
        <v>108</v>
      </c>
      <c r="B112" s="12" t="s">
        <v>729</v>
      </c>
      <c r="C112" s="17" t="s">
        <v>730</v>
      </c>
      <c r="D112" s="14" t="s">
        <v>724</v>
      </c>
      <c r="E112" s="11" t="s">
        <v>197</v>
      </c>
      <c r="F112" s="13" t="s">
        <v>272</v>
      </c>
      <c r="G112" s="11" t="s">
        <v>86</v>
      </c>
      <c r="H112" s="11"/>
      <c r="I112" s="11"/>
      <c r="J112" s="11"/>
      <c r="K112" s="11" t="s">
        <v>87</v>
      </c>
      <c r="L112" s="13" t="s">
        <v>731</v>
      </c>
      <c r="M112" s="13" t="s">
        <v>732</v>
      </c>
      <c r="N112" s="13" t="s">
        <v>733</v>
      </c>
      <c r="O112" s="11" t="s">
        <v>152</v>
      </c>
      <c r="P112" s="11" t="s">
        <v>132</v>
      </c>
      <c r="Q112" s="13" t="s">
        <v>734</v>
      </c>
      <c r="R112" s="11" t="s">
        <v>268</v>
      </c>
      <c r="S112" s="13"/>
      <c r="T112" s="16" t="s">
        <v>95</v>
      </c>
      <c r="U112" s="16"/>
    </row>
    <row r="113" customFormat="false" ht="46.25" hidden="false" customHeight="false" outlineLevel="0" collapsed="false">
      <c r="A113" s="11" t="n">
        <v>109</v>
      </c>
      <c r="B113" s="12" t="s">
        <v>735</v>
      </c>
      <c r="C113" s="13"/>
      <c r="D113" s="14" t="s">
        <v>724</v>
      </c>
      <c r="E113" s="11" t="s">
        <v>84</v>
      </c>
      <c r="F113" s="13" t="s">
        <v>736</v>
      </c>
      <c r="G113" s="11" t="s">
        <v>86</v>
      </c>
      <c r="H113" s="11"/>
      <c r="I113" s="11"/>
      <c r="J113" s="11"/>
      <c r="K113" s="11" t="s">
        <v>87</v>
      </c>
      <c r="L113" s="13" t="s">
        <v>737</v>
      </c>
      <c r="M113" s="13" t="s">
        <v>738</v>
      </c>
      <c r="N113" s="13" t="s">
        <v>739</v>
      </c>
      <c r="O113" s="11" t="s">
        <v>152</v>
      </c>
      <c r="P113" s="11" t="s">
        <v>132</v>
      </c>
      <c r="Q113" s="13" t="s">
        <v>740</v>
      </c>
      <c r="R113" s="11" t="s">
        <v>268</v>
      </c>
      <c r="S113" s="13"/>
      <c r="T113" s="16" t="s">
        <v>95</v>
      </c>
      <c r="U113" s="16"/>
    </row>
    <row r="114" customFormat="false" ht="23.85" hidden="false" customHeight="false" outlineLevel="0" collapsed="false">
      <c r="A114" s="11" t="n">
        <v>110</v>
      </c>
      <c r="B114" s="12" t="s">
        <v>741</v>
      </c>
      <c r="C114" s="13" t="s">
        <v>741</v>
      </c>
      <c r="D114" s="14" t="s">
        <v>724</v>
      </c>
      <c r="E114" s="11" t="s">
        <v>104</v>
      </c>
      <c r="F114" s="13" t="s">
        <v>742</v>
      </c>
      <c r="G114" s="11" t="s">
        <v>86</v>
      </c>
      <c r="H114" s="11"/>
      <c r="I114" s="11"/>
      <c r="J114" s="11"/>
      <c r="K114" s="11" t="s">
        <v>87</v>
      </c>
      <c r="L114" s="13"/>
      <c r="M114" s="13" t="s">
        <v>743</v>
      </c>
      <c r="N114" s="13" t="s">
        <v>744</v>
      </c>
      <c r="O114" s="11" t="s">
        <v>152</v>
      </c>
      <c r="P114" s="11" t="s">
        <v>92</v>
      </c>
      <c r="Q114" s="13" t="s">
        <v>550</v>
      </c>
      <c r="R114" s="11" t="s">
        <v>268</v>
      </c>
      <c r="S114" s="13"/>
      <c r="T114" s="16" t="s">
        <v>95</v>
      </c>
      <c r="U114" s="16"/>
    </row>
    <row r="115" customFormat="false" ht="23.85" hidden="false" customHeight="false" outlineLevel="0" collapsed="false">
      <c r="A115" s="11" t="n">
        <v>111</v>
      </c>
      <c r="B115" s="12" t="s">
        <v>745</v>
      </c>
      <c r="C115" s="13" t="s">
        <v>745</v>
      </c>
      <c r="D115" s="14" t="s">
        <v>724</v>
      </c>
      <c r="E115" s="11" t="s">
        <v>104</v>
      </c>
      <c r="F115" s="13" t="s">
        <v>746</v>
      </c>
      <c r="G115" s="11" t="s">
        <v>86</v>
      </c>
      <c r="H115" s="11"/>
      <c r="I115" s="11"/>
      <c r="J115" s="11"/>
      <c r="K115" s="11" t="s">
        <v>86</v>
      </c>
      <c r="L115" s="13" t="s">
        <v>667</v>
      </c>
      <c r="M115" s="13" t="s">
        <v>747</v>
      </c>
      <c r="N115" s="13" t="s">
        <v>748</v>
      </c>
      <c r="O115" s="11" t="s">
        <v>152</v>
      </c>
      <c r="P115" s="11" t="s">
        <v>92</v>
      </c>
      <c r="Q115" s="13" t="s">
        <v>187</v>
      </c>
      <c r="R115" s="15" t="s">
        <v>94</v>
      </c>
      <c r="S115" s="13"/>
      <c r="T115" s="16" t="s">
        <v>95</v>
      </c>
      <c r="U115" s="16"/>
    </row>
    <row r="116" customFormat="false" ht="23.85" hidden="false" customHeight="false" outlineLevel="0" collapsed="false">
      <c r="A116" s="11" t="n">
        <v>112</v>
      </c>
      <c r="B116" s="12" t="s">
        <v>749</v>
      </c>
      <c r="C116" s="13" t="s">
        <v>749</v>
      </c>
      <c r="D116" s="14" t="s">
        <v>724</v>
      </c>
      <c r="E116" s="11" t="s">
        <v>104</v>
      </c>
      <c r="F116" s="13" t="s">
        <v>750</v>
      </c>
      <c r="G116" s="11" t="s">
        <v>86</v>
      </c>
      <c r="H116" s="11"/>
      <c r="I116" s="11"/>
      <c r="J116" s="11"/>
      <c r="K116" s="11" t="s">
        <v>86</v>
      </c>
      <c r="L116" s="13" t="s">
        <v>667</v>
      </c>
      <c r="M116" s="13" t="s">
        <v>751</v>
      </c>
      <c r="N116" s="13" t="s">
        <v>752</v>
      </c>
      <c r="O116" s="11" t="s">
        <v>152</v>
      </c>
      <c r="P116" s="11" t="s">
        <v>92</v>
      </c>
      <c r="Q116" s="13" t="s">
        <v>187</v>
      </c>
      <c r="R116" s="15" t="s">
        <v>94</v>
      </c>
      <c r="S116" s="13"/>
      <c r="T116" s="16" t="s">
        <v>95</v>
      </c>
      <c r="U116" s="16"/>
    </row>
    <row r="117" customFormat="false" ht="23.85" hidden="false" customHeight="false" outlineLevel="0" collapsed="false">
      <c r="A117" s="11" t="n">
        <v>113</v>
      </c>
      <c r="B117" s="12" t="s">
        <v>753</v>
      </c>
      <c r="C117" s="13" t="s">
        <v>753</v>
      </c>
      <c r="D117" s="14" t="s">
        <v>724</v>
      </c>
      <c r="E117" s="11" t="s">
        <v>104</v>
      </c>
      <c r="F117" s="13" t="s">
        <v>754</v>
      </c>
      <c r="G117" s="11" t="s">
        <v>86</v>
      </c>
      <c r="H117" s="11"/>
      <c r="I117" s="11"/>
      <c r="J117" s="11"/>
      <c r="K117" s="11" t="s">
        <v>86</v>
      </c>
      <c r="L117" s="13" t="s">
        <v>755</v>
      </c>
      <c r="M117" s="13" t="s">
        <v>756</v>
      </c>
      <c r="N117" s="13" t="s">
        <v>757</v>
      </c>
      <c r="O117" s="11" t="s">
        <v>186</v>
      </c>
      <c r="P117" s="11" t="s">
        <v>132</v>
      </c>
      <c r="Q117" s="13" t="s">
        <v>758</v>
      </c>
      <c r="R117" s="15" t="s">
        <v>94</v>
      </c>
      <c r="S117" s="13"/>
      <c r="T117" s="16" t="s">
        <v>95</v>
      </c>
      <c r="U117" s="16"/>
    </row>
    <row r="118" customFormat="false" ht="23.85" hidden="false" customHeight="false" outlineLevel="0" collapsed="false">
      <c r="A118" s="11" t="n">
        <v>114</v>
      </c>
      <c r="B118" s="12" t="s">
        <v>759</v>
      </c>
      <c r="C118" s="13" t="s">
        <v>759</v>
      </c>
      <c r="D118" s="14" t="s">
        <v>724</v>
      </c>
      <c r="E118" s="11" t="s">
        <v>104</v>
      </c>
      <c r="F118" s="13" t="s">
        <v>760</v>
      </c>
      <c r="G118" s="11" t="s">
        <v>86</v>
      </c>
      <c r="H118" s="11"/>
      <c r="I118" s="11"/>
      <c r="J118" s="11"/>
      <c r="K118" s="11" t="s">
        <v>86</v>
      </c>
      <c r="L118" s="13" t="s">
        <v>667</v>
      </c>
      <c r="M118" s="13" t="s">
        <v>761</v>
      </c>
      <c r="N118" s="13" t="s">
        <v>762</v>
      </c>
      <c r="O118" s="11" t="s">
        <v>186</v>
      </c>
      <c r="P118" s="11" t="s">
        <v>92</v>
      </c>
      <c r="Q118" s="13" t="s">
        <v>187</v>
      </c>
      <c r="R118" s="15" t="s">
        <v>94</v>
      </c>
      <c r="S118" s="13"/>
      <c r="T118" s="16" t="s">
        <v>95</v>
      </c>
      <c r="U118" s="16"/>
    </row>
    <row r="119" customFormat="false" ht="23.85" hidden="false" customHeight="false" outlineLevel="0" collapsed="false">
      <c r="A119" s="11" t="n">
        <v>115</v>
      </c>
      <c r="B119" s="12" t="s">
        <v>763</v>
      </c>
      <c r="C119" s="17" t="s">
        <v>764</v>
      </c>
      <c r="D119" s="14" t="s">
        <v>724</v>
      </c>
      <c r="E119" s="11" t="s">
        <v>197</v>
      </c>
      <c r="F119" s="13" t="s">
        <v>765</v>
      </c>
      <c r="G119" s="11" t="s">
        <v>86</v>
      </c>
      <c r="H119" s="11"/>
      <c r="I119" s="11"/>
      <c r="J119" s="11"/>
      <c r="K119" s="11" t="s">
        <v>86</v>
      </c>
      <c r="L119" s="13" t="s">
        <v>273</v>
      </c>
      <c r="M119" s="13" t="s">
        <v>766</v>
      </c>
      <c r="N119" s="13" t="s">
        <v>767</v>
      </c>
      <c r="O119" s="11" t="s">
        <v>186</v>
      </c>
      <c r="P119" s="11" t="s">
        <v>166</v>
      </c>
      <c r="Q119" s="13" t="s">
        <v>497</v>
      </c>
      <c r="R119" s="15" t="s">
        <v>94</v>
      </c>
      <c r="S119" s="13"/>
      <c r="T119" s="16" t="s">
        <v>95</v>
      </c>
      <c r="U119" s="16"/>
    </row>
    <row r="120" customFormat="false" ht="23.85" hidden="false" customHeight="false" outlineLevel="0" collapsed="false">
      <c r="A120" s="11" t="n">
        <v>116</v>
      </c>
      <c r="B120" s="12" t="s">
        <v>768</v>
      </c>
      <c r="C120" s="17" t="s">
        <v>769</v>
      </c>
      <c r="D120" s="14" t="s">
        <v>724</v>
      </c>
      <c r="E120" s="11" t="s">
        <v>84</v>
      </c>
      <c r="F120" s="13" t="s">
        <v>770</v>
      </c>
      <c r="G120" s="11" t="s">
        <v>86</v>
      </c>
      <c r="H120" s="11"/>
      <c r="I120" s="11"/>
      <c r="J120" s="11"/>
      <c r="K120" s="11" t="s">
        <v>87</v>
      </c>
      <c r="L120" s="13" t="s">
        <v>286</v>
      </c>
      <c r="M120" s="13" t="s">
        <v>771</v>
      </c>
      <c r="N120" s="13" t="s">
        <v>772</v>
      </c>
      <c r="O120" s="11" t="s">
        <v>186</v>
      </c>
      <c r="P120" s="11" t="s">
        <v>92</v>
      </c>
      <c r="Q120" s="13" t="s">
        <v>773</v>
      </c>
      <c r="R120" s="15" t="s">
        <v>234</v>
      </c>
      <c r="S120" s="13" t="s">
        <v>235</v>
      </c>
      <c r="T120" s="16" t="s">
        <v>95</v>
      </c>
      <c r="U120" s="16"/>
    </row>
    <row r="121" customFormat="false" ht="23.85" hidden="false" customHeight="false" outlineLevel="0" collapsed="false">
      <c r="A121" s="11" t="n">
        <v>117</v>
      </c>
      <c r="B121" s="12" t="s">
        <v>774</v>
      </c>
      <c r="C121" s="17" t="s">
        <v>775</v>
      </c>
      <c r="D121" s="14" t="s">
        <v>724</v>
      </c>
      <c r="E121" s="11" t="s">
        <v>104</v>
      </c>
      <c r="F121" s="13" t="s">
        <v>776</v>
      </c>
      <c r="G121" s="11" t="s">
        <v>86</v>
      </c>
      <c r="H121" s="11"/>
      <c r="I121" s="11"/>
      <c r="J121" s="11"/>
      <c r="K121" s="11" t="s">
        <v>86</v>
      </c>
      <c r="L121" s="13" t="s">
        <v>286</v>
      </c>
      <c r="M121" s="13" t="s">
        <v>777</v>
      </c>
      <c r="N121" s="13" t="s">
        <v>778</v>
      </c>
      <c r="O121" s="11" t="s">
        <v>193</v>
      </c>
      <c r="P121" s="11" t="s">
        <v>166</v>
      </c>
      <c r="Q121" s="13" t="s">
        <v>497</v>
      </c>
      <c r="R121" s="15" t="s">
        <v>94</v>
      </c>
      <c r="S121" s="13"/>
      <c r="T121" s="16" t="s">
        <v>95</v>
      </c>
      <c r="U121" s="16"/>
    </row>
    <row r="122" customFormat="false" ht="23.85" hidden="false" customHeight="false" outlineLevel="0" collapsed="false">
      <c r="A122" s="11" t="n">
        <v>118</v>
      </c>
      <c r="B122" s="12" t="s">
        <v>779</v>
      </c>
      <c r="C122" s="17" t="s">
        <v>780</v>
      </c>
      <c r="D122" s="14" t="s">
        <v>724</v>
      </c>
      <c r="E122" s="11" t="s">
        <v>197</v>
      </c>
      <c r="F122" s="13" t="s">
        <v>781</v>
      </c>
      <c r="G122" s="11" t="s">
        <v>86</v>
      </c>
      <c r="H122" s="11"/>
      <c r="I122" s="11"/>
      <c r="J122" s="11"/>
      <c r="K122" s="11" t="s">
        <v>87</v>
      </c>
      <c r="L122" s="13" t="s">
        <v>286</v>
      </c>
      <c r="M122" s="13" t="s">
        <v>782</v>
      </c>
      <c r="N122" s="13" t="s">
        <v>783</v>
      </c>
      <c r="O122" s="11" t="s">
        <v>193</v>
      </c>
      <c r="P122" s="11" t="s">
        <v>92</v>
      </c>
      <c r="Q122" s="13" t="s">
        <v>784</v>
      </c>
      <c r="R122" s="15" t="s">
        <v>234</v>
      </c>
      <c r="S122" s="13" t="s">
        <v>235</v>
      </c>
      <c r="T122" s="16" t="s">
        <v>95</v>
      </c>
      <c r="U122" s="16"/>
    </row>
    <row r="123" customFormat="false" ht="35.05" hidden="false" customHeight="false" outlineLevel="0" collapsed="false">
      <c r="A123" s="11" t="n">
        <v>119</v>
      </c>
      <c r="B123" s="12" t="s">
        <v>785</v>
      </c>
      <c r="C123" s="17" t="s">
        <v>786</v>
      </c>
      <c r="D123" s="14" t="s">
        <v>787</v>
      </c>
      <c r="E123" s="11" t="s">
        <v>197</v>
      </c>
      <c r="F123" s="13" t="s">
        <v>272</v>
      </c>
      <c r="G123" s="11" t="s">
        <v>86</v>
      </c>
      <c r="H123" s="11" t="s">
        <v>86</v>
      </c>
      <c r="I123" s="11"/>
      <c r="J123" s="11" t="s">
        <v>87</v>
      </c>
      <c r="K123" s="11"/>
      <c r="L123" s="13" t="s">
        <v>788</v>
      </c>
      <c r="M123" s="13" t="s">
        <v>789</v>
      </c>
      <c r="N123" s="13" t="s">
        <v>790</v>
      </c>
      <c r="O123" s="11" t="s">
        <v>152</v>
      </c>
      <c r="P123" s="11" t="s">
        <v>92</v>
      </c>
      <c r="Q123" s="13" t="s">
        <v>791</v>
      </c>
      <c r="R123" s="11" t="s">
        <v>268</v>
      </c>
      <c r="S123" s="13" t="s">
        <v>792</v>
      </c>
      <c r="T123" s="16" t="s">
        <v>95</v>
      </c>
      <c r="U123" s="16"/>
    </row>
    <row r="124" customFormat="false" ht="23.85" hidden="false" customHeight="false" outlineLevel="0" collapsed="false">
      <c r="A124" s="11" t="n">
        <v>120</v>
      </c>
      <c r="B124" s="12" t="s">
        <v>793</v>
      </c>
      <c r="C124" s="17" t="s">
        <v>794</v>
      </c>
      <c r="D124" s="14" t="s">
        <v>787</v>
      </c>
      <c r="E124" s="11" t="s">
        <v>197</v>
      </c>
      <c r="F124" s="13" t="s">
        <v>272</v>
      </c>
      <c r="G124" s="11" t="s">
        <v>86</v>
      </c>
      <c r="H124" s="11" t="s">
        <v>86</v>
      </c>
      <c r="I124" s="11"/>
      <c r="J124" s="11" t="s">
        <v>87</v>
      </c>
      <c r="K124" s="11"/>
      <c r="L124" s="13" t="s">
        <v>788</v>
      </c>
      <c r="M124" s="13" t="s">
        <v>795</v>
      </c>
      <c r="N124" s="13" t="s">
        <v>796</v>
      </c>
      <c r="O124" s="11" t="s">
        <v>152</v>
      </c>
      <c r="P124" s="11" t="s">
        <v>132</v>
      </c>
      <c r="Q124" s="13" t="s">
        <v>797</v>
      </c>
      <c r="R124" s="11" t="s">
        <v>268</v>
      </c>
      <c r="S124" s="13" t="s">
        <v>798</v>
      </c>
      <c r="T124" s="16" t="s">
        <v>95</v>
      </c>
      <c r="U124" s="16"/>
    </row>
    <row r="125" customFormat="false" ht="23.85" hidden="false" customHeight="false" outlineLevel="0" collapsed="false">
      <c r="A125" s="11" t="n">
        <v>121</v>
      </c>
      <c r="B125" s="12" t="s">
        <v>799</v>
      </c>
      <c r="C125" s="17" t="s">
        <v>800</v>
      </c>
      <c r="D125" s="14" t="s">
        <v>787</v>
      </c>
      <c r="E125" s="11" t="s">
        <v>197</v>
      </c>
      <c r="F125" s="13" t="s">
        <v>272</v>
      </c>
      <c r="G125" s="11" t="s">
        <v>86</v>
      </c>
      <c r="H125" s="11" t="s">
        <v>86</v>
      </c>
      <c r="I125" s="11"/>
      <c r="J125" s="11" t="s">
        <v>87</v>
      </c>
      <c r="K125" s="11"/>
      <c r="L125" s="13" t="s">
        <v>788</v>
      </c>
      <c r="M125" s="13" t="s">
        <v>801</v>
      </c>
      <c r="N125" s="13" t="s">
        <v>802</v>
      </c>
      <c r="O125" s="11" t="s">
        <v>152</v>
      </c>
      <c r="P125" s="11" t="s">
        <v>132</v>
      </c>
      <c r="Q125" s="13" t="s">
        <v>797</v>
      </c>
      <c r="R125" s="11" t="s">
        <v>268</v>
      </c>
      <c r="S125" s="13" t="s">
        <v>798</v>
      </c>
      <c r="T125" s="16" t="s">
        <v>95</v>
      </c>
      <c r="U125" s="16"/>
    </row>
    <row r="126" customFormat="false" ht="35.05" hidden="false" customHeight="false" outlineLevel="0" collapsed="false">
      <c r="A126" s="11" t="n">
        <v>122</v>
      </c>
      <c r="B126" s="12" t="s">
        <v>803</v>
      </c>
      <c r="C126" s="17" t="s">
        <v>786</v>
      </c>
      <c r="D126" s="14" t="s">
        <v>787</v>
      </c>
      <c r="E126" s="11" t="s">
        <v>197</v>
      </c>
      <c r="F126" s="13" t="s">
        <v>272</v>
      </c>
      <c r="G126" s="11" t="s">
        <v>86</v>
      </c>
      <c r="H126" s="11" t="s">
        <v>86</v>
      </c>
      <c r="I126" s="11"/>
      <c r="J126" s="11" t="s">
        <v>87</v>
      </c>
      <c r="K126" s="11"/>
      <c r="L126" s="13" t="s">
        <v>788</v>
      </c>
      <c r="M126" s="13" t="s">
        <v>804</v>
      </c>
      <c r="N126" s="13" t="s">
        <v>805</v>
      </c>
      <c r="O126" s="11" t="s">
        <v>152</v>
      </c>
      <c r="P126" s="11" t="s">
        <v>132</v>
      </c>
      <c r="Q126" s="13" t="s">
        <v>806</v>
      </c>
      <c r="R126" s="11" t="s">
        <v>268</v>
      </c>
      <c r="S126" s="13" t="s">
        <v>792</v>
      </c>
      <c r="T126" s="16" t="s">
        <v>95</v>
      </c>
      <c r="U126" s="16"/>
    </row>
    <row r="127" customFormat="false" ht="23.85" hidden="false" customHeight="false" outlineLevel="0" collapsed="false">
      <c r="A127" s="11" t="n">
        <v>123</v>
      </c>
      <c r="B127" s="12" t="s">
        <v>807</v>
      </c>
      <c r="C127" s="17" t="s">
        <v>808</v>
      </c>
      <c r="D127" s="14" t="s">
        <v>787</v>
      </c>
      <c r="E127" s="11" t="s">
        <v>197</v>
      </c>
      <c r="F127" s="13" t="s">
        <v>272</v>
      </c>
      <c r="G127" s="11" t="s">
        <v>86</v>
      </c>
      <c r="H127" s="11" t="s">
        <v>87</v>
      </c>
      <c r="I127" s="11"/>
      <c r="J127" s="11" t="s">
        <v>87</v>
      </c>
      <c r="K127" s="11"/>
      <c r="L127" s="13" t="s">
        <v>809</v>
      </c>
      <c r="M127" s="13" t="s">
        <v>810</v>
      </c>
      <c r="N127" s="13" t="s">
        <v>811</v>
      </c>
      <c r="O127" s="11" t="s">
        <v>152</v>
      </c>
      <c r="P127" s="11" t="s">
        <v>132</v>
      </c>
      <c r="Q127" s="13" t="s">
        <v>797</v>
      </c>
      <c r="R127" s="11" t="s">
        <v>268</v>
      </c>
      <c r="S127" s="13" t="s">
        <v>798</v>
      </c>
      <c r="T127" s="16" t="s">
        <v>95</v>
      </c>
      <c r="U127" s="16"/>
    </row>
    <row r="128" customFormat="false" ht="23.85" hidden="false" customHeight="false" outlineLevel="0" collapsed="false">
      <c r="A128" s="11" t="n">
        <v>124</v>
      </c>
      <c r="B128" s="12" t="s">
        <v>812</v>
      </c>
      <c r="C128" s="17" t="s">
        <v>813</v>
      </c>
      <c r="D128" s="14" t="s">
        <v>787</v>
      </c>
      <c r="E128" s="11" t="s">
        <v>197</v>
      </c>
      <c r="F128" s="13" t="s">
        <v>814</v>
      </c>
      <c r="G128" s="11" t="s">
        <v>86</v>
      </c>
      <c r="H128" s="11" t="s">
        <v>86</v>
      </c>
      <c r="I128" s="11"/>
      <c r="J128" s="11" t="s">
        <v>86</v>
      </c>
      <c r="K128" s="11"/>
      <c r="L128" s="13" t="s">
        <v>488</v>
      </c>
      <c r="M128" s="13" t="s">
        <v>815</v>
      </c>
      <c r="N128" s="13" t="s">
        <v>816</v>
      </c>
      <c r="O128" s="11" t="s">
        <v>152</v>
      </c>
      <c r="P128" s="11" t="s">
        <v>132</v>
      </c>
      <c r="Q128" s="13" t="s">
        <v>817</v>
      </c>
      <c r="R128" s="15" t="s">
        <v>94</v>
      </c>
      <c r="S128" s="13"/>
      <c r="T128" s="16" t="s">
        <v>95</v>
      </c>
      <c r="U128" s="16"/>
    </row>
    <row r="129" customFormat="false" ht="15" hidden="false" customHeight="false" outlineLevel="0" collapsed="false">
      <c r="A129" s="11" t="n">
        <v>125</v>
      </c>
      <c r="B129" s="12" t="s">
        <v>818</v>
      </c>
      <c r="C129" s="17" t="s">
        <v>819</v>
      </c>
      <c r="D129" s="14" t="s">
        <v>787</v>
      </c>
      <c r="E129" s="11" t="s">
        <v>104</v>
      </c>
      <c r="F129" s="13" t="s">
        <v>820</v>
      </c>
      <c r="G129" s="11" t="s">
        <v>86</v>
      </c>
      <c r="H129" s="11" t="s">
        <v>86</v>
      </c>
      <c r="I129" s="11"/>
      <c r="J129" s="11" t="s">
        <v>86</v>
      </c>
      <c r="K129" s="11"/>
      <c r="L129" s="13" t="s">
        <v>821</v>
      </c>
      <c r="M129" s="13" t="s">
        <v>822</v>
      </c>
      <c r="N129" s="13" t="s">
        <v>823</v>
      </c>
      <c r="O129" s="11" t="s">
        <v>152</v>
      </c>
      <c r="P129" s="11" t="s">
        <v>92</v>
      </c>
      <c r="Q129" s="13" t="s">
        <v>187</v>
      </c>
      <c r="R129" s="15" t="s">
        <v>94</v>
      </c>
      <c r="S129" s="13"/>
      <c r="T129" s="16" t="s">
        <v>95</v>
      </c>
      <c r="U129" s="16"/>
    </row>
    <row r="130" customFormat="false" ht="23.85" hidden="false" customHeight="false" outlineLevel="0" collapsed="false">
      <c r="A130" s="11" t="n">
        <v>126</v>
      </c>
      <c r="B130" s="12" t="s">
        <v>824</v>
      </c>
      <c r="C130" s="17" t="s">
        <v>825</v>
      </c>
      <c r="D130" s="14" t="s">
        <v>787</v>
      </c>
      <c r="E130" s="11" t="s">
        <v>197</v>
      </c>
      <c r="F130" s="13" t="s">
        <v>826</v>
      </c>
      <c r="G130" s="11" t="s">
        <v>86</v>
      </c>
      <c r="H130" s="11" t="s">
        <v>86</v>
      </c>
      <c r="I130" s="11"/>
      <c r="J130" s="11" t="s">
        <v>86</v>
      </c>
      <c r="K130" s="11"/>
      <c r="L130" s="13" t="s">
        <v>488</v>
      </c>
      <c r="M130" s="13" t="s">
        <v>827</v>
      </c>
      <c r="N130" s="13" t="s">
        <v>828</v>
      </c>
      <c r="O130" s="11" t="s">
        <v>152</v>
      </c>
      <c r="P130" s="11" t="s">
        <v>92</v>
      </c>
      <c r="Q130" s="13" t="s">
        <v>829</v>
      </c>
      <c r="R130" s="15" t="s">
        <v>234</v>
      </c>
      <c r="S130" s="13" t="s">
        <v>830</v>
      </c>
      <c r="T130" s="16" t="s">
        <v>95</v>
      </c>
      <c r="U130" s="16"/>
    </row>
    <row r="131" customFormat="false" ht="23.85" hidden="false" customHeight="false" outlineLevel="0" collapsed="false">
      <c r="A131" s="11" t="n">
        <v>127</v>
      </c>
      <c r="B131" s="12" t="s">
        <v>831</v>
      </c>
      <c r="C131" s="17" t="s">
        <v>832</v>
      </c>
      <c r="D131" s="14" t="s">
        <v>787</v>
      </c>
      <c r="E131" s="11" t="s">
        <v>197</v>
      </c>
      <c r="F131" s="13" t="s">
        <v>272</v>
      </c>
      <c r="G131" s="11" t="s">
        <v>86</v>
      </c>
      <c r="H131" s="11" t="s">
        <v>87</v>
      </c>
      <c r="I131" s="11"/>
      <c r="J131" s="11" t="s">
        <v>87</v>
      </c>
      <c r="K131" s="11"/>
      <c r="L131" s="13" t="s">
        <v>833</v>
      </c>
      <c r="M131" s="13" t="s">
        <v>801</v>
      </c>
      <c r="N131" s="13" t="s">
        <v>802</v>
      </c>
      <c r="O131" s="11" t="s">
        <v>186</v>
      </c>
      <c r="P131" s="11" t="s">
        <v>132</v>
      </c>
      <c r="Q131" s="13" t="s">
        <v>797</v>
      </c>
      <c r="R131" s="11" t="s">
        <v>268</v>
      </c>
      <c r="S131" s="13" t="s">
        <v>798</v>
      </c>
      <c r="T131" s="16" t="s">
        <v>95</v>
      </c>
      <c r="U131" s="16"/>
    </row>
    <row r="132" customFormat="false" ht="26.85" hidden="false" customHeight="false" outlineLevel="0" collapsed="false">
      <c r="A132" s="11" t="n">
        <v>128</v>
      </c>
      <c r="B132" s="12" t="s">
        <v>834</v>
      </c>
      <c r="C132" s="17" t="s">
        <v>835</v>
      </c>
      <c r="D132" s="14" t="s">
        <v>787</v>
      </c>
      <c r="E132" s="11" t="s">
        <v>197</v>
      </c>
      <c r="F132" s="13" t="s">
        <v>836</v>
      </c>
      <c r="G132" s="11" t="s">
        <v>87</v>
      </c>
      <c r="H132" s="11" t="s">
        <v>86</v>
      </c>
      <c r="I132" s="11"/>
      <c r="J132" s="11" t="s">
        <v>86</v>
      </c>
      <c r="K132" s="11"/>
      <c r="L132" s="13" t="s">
        <v>837</v>
      </c>
      <c r="M132" s="13" t="s">
        <v>838</v>
      </c>
      <c r="N132" s="13" t="s">
        <v>839</v>
      </c>
      <c r="O132" s="11" t="s">
        <v>193</v>
      </c>
      <c r="P132" s="11" t="s">
        <v>92</v>
      </c>
      <c r="Q132" s="13" t="s">
        <v>840</v>
      </c>
      <c r="R132" s="15" t="s">
        <v>234</v>
      </c>
      <c r="S132" s="13" t="s">
        <v>841</v>
      </c>
      <c r="T132" s="16" t="s">
        <v>95</v>
      </c>
      <c r="U132" s="16"/>
    </row>
    <row r="133" customFormat="false" ht="26.85" hidden="false" customHeight="false" outlineLevel="0" collapsed="false">
      <c r="A133" s="11" t="n">
        <v>129</v>
      </c>
      <c r="B133" s="12" t="s">
        <v>842</v>
      </c>
      <c r="C133" s="17" t="s">
        <v>843</v>
      </c>
      <c r="D133" s="14" t="s">
        <v>787</v>
      </c>
      <c r="E133" s="11" t="s">
        <v>197</v>
      </c>
      <c r="F133" s="13" t="s">
        <v>844</v>
      </c>
      <c r="G133" s="11" t="s">
        <v>87</v>
      </c>
      <c r="H133" s="11" t="s">
        <v>86</v>
      </c>
      <c r="I133" s="11"/>
      <c r="J133" s="11" t="s">
        <v>86</v>
      </c>
      <c r="K133" s="11"/>
      <c r="L133" s="13" t="s">
        <v>837</v>
      </c>
      <c r="M133" s="13" t="s">
        <v>845</v>
      </c>
      <c r="N133" s="13" t="s">
        <v>802</v>
      </c>
      <c r="O133" s="11" t="s">
        <v>193</v>
      </c>
      <c r="P133" s="11" t="s">
        <v>92</v>
      </c>
      <c r="Q133" s="13" t="s">
        <v>840</v>
      </c>
      <c r="R133" s="15" t="s">
        <v>234</v>
      </c>
      <c r="S133" s="13" t="s">
        <v>841</v>
      </c>
      <c r="T133" s="16" t="s">
        <v>95</v>
      </c>
      <c r="U133" s="16"/>
    </row>
    <row r="134" customFormat="false" ht="26.85" hidden="false" customHeight="false" outlineLevel="0" collapsed="false">
      <c r="A134" s="11" t="n">
        <v>130</v>
      </c>
      <c r="B134" s="12" t="s">
        <v>846</v>
      </c>
      <c r="C134" s="17" t="s">
        <v>847</v>
      </c>
      <c r="D134" s="14" t="s">
        <v>787</v>
      </c>
      <c r="E134" s="11" t="s">
        <v>197</v>
      </c>
      <c r="F134" s="13" t="s">
        <v>848</v>
      </c>
      <c r="G134" s="11"/>
      <c r="H134" s="11" t="s">
        <v>86</v>
      </c>
      <c r="I134" s="11"/>
      <c r="J134" s="11" t="s">
        <v>86</v>
      </c>
      <c r="K134" s="11"/>
      <c r="L134" s="13" t="s">
        <v>511</v>
      </c>
      <c r="M134" s="13" t="s">
        <v>845</v>
      </c>
      <c r="N134" s="13" t="s">
        <v>849</v>
      </c>
      <c r="O134" s="11" t="s">
        <v>193</v>
      </c>
      <c r="P134" s="11" t="s">
        <v>92</v>
      </c>
      <c r="Q134" s="13" t="s">
        <v>850</v>
      </c>
      <c r="R134" s="15" t="s">
        <v>234</v>
      </c>
      <c r="S134" s="13" t="s">
        <v>830</v>
      </c>
      <c r="T134" s="16" t="s">
        <v>95</v>
      </c>
      <c r="U134" s="16"/>
    </row>
    <row r="135" customFormat="false" ht="35.05" hidden="false" customHeight="false" outlineLevel="0" collapsed="false">
      <c r="A135" s="11" t="n">
        <v>131</v>
      </c>
      <c r="B135" s="12" t="s">
        <v>851</v>
      </c>
      <c r="C135" s="17" t="s">
        <v>852</v>
      </c>
      <c r="D135" s="14" t="s">
        <v>853</v>
      </c>
      <c r="E135" s="11" t="s">
        <v>197</v>
      </c>
      <c r="F135" s="13" t="s">
        <v>272</v>
      </c>
      <c r="G135" s="11" t="s">
        <v>86</v>
      </c>
      <c r="H135" s="11" t="s">
        <v>86</v>
      </c>
      <c r="I135" s="11"/>
      <c r="J135" s="11" t="s">
        <v>86</v>
      </c>
      <c r="K135" s="11"/>
      <c r="L135" s="13" t="s">
        <v>854</v>
      </c>
      <c r="M135" s="13" t="s">
        <v>855</v>
      </c>
      <c r="N135" s="13" t="s">
        <v>856</v>
      </c>
      <c r="O135" s="11" t="s">
        <v>91</v>
      </c>
      <c r="P135" s="11" t="s">
        <v>92</v>
      </c>
      <c r="Q135" s="13" t="s">
        <v>857</v>
      </c>
      <c r="R135" s="11" t="s">
        <v>268</v>
      </c>
      <c r="S135" s="13"/>
      <c r="T135" s="16" t="s">
        <v>95</v>
      </c>
      <c r="U135" s="16"/>
    </row>
    <row r="136" customFormat="false" ht="23.85" hidden="false" customHeight="false" outlineLevel="0" collapsed="false">
      <c r="A136" s="11" t="n">
        <v>132</v>
      </c>
      <c r="B136" s="12" t="s">
        <v>858</v>
      </c>
      <c r="C136" s="17" t="s">
        <v>859</v>
      </c>
      <c r="D136" s="14" t="s">
        <v>853</v>
      </c>
      <c r="E136" s="11" t="s">
        <v>197</v>
      </c>
      <c r="F136" s="13" t="s">
        <v>272</v>
      </c>
      <c r="G136" s="11" t="s">
        <v>86</v>
      </c>
      <c r="H136" s="11" t="s">
        <v>87</v>
      </c>
      <c r="I136" s="11"/>
      <c r="J136" s="11" t="s">
        <v>87</v>
      </c>
      <c r="K136" s="11"/>
      <c r="L136" s="13" t="s">
        <v>488</v>
      </c>
      <c r="M136" s="13" t="s">
        <v>860</v>
      </c>
      <c r="N136" s="13" t="s">
        <v>861</v>
      </c>
      <c r="O136" s="11" t="s">
        <v>152</v>
      </c>
      <c r="P136" s="11" t="s">
        <v>92</v>
      </c>
      <c r="Q136" s="13" t="s">
        <v>862</v>
      </c>
      <c r="R136" s="11" t="s">
        <v>268</v>
      </c>
      <c r="S136" s="13"/>
      <c r="T136" s="16" t="s">
        <v>95</v>
      </c>
      <c r="U136" s="16"/>
    </row>
    <row r="137" customFormat="false" ht="23.85" hidden="false" customHeight="false" outlineLevel="0" collapsed="false">
      <c r="A137" s="11" t="n">
        <v>133</v>
      </c>
      <c r="B137" s="12" t="s">
        <v>863</v>
      </c>
      <c r="C137" s="17" t="s">
        <v>864</v>
      </c>
      <c r="D137" s="14" t="s">
        <v>853</v>
      </c>
      <c r="E137" s="11" t="s">
        <v>197</v>
      </c>
      <c r="F137" s="13" t="s">
        <v>865</v>
      </c>
      <c r="G137" s="11" t="s">
        <v>86</v>
      </c>
      <c r="H137" s="11" t="s">
        <v>86</v>
      </c>
      <c r="I137" s="11"/>
      <c r="J137" s="11" t="s">
        <v>86</v>
      </c>
      <c r="K137" s="11"/>
      <c r="L137" s="13" t="s">
        <v>488</v>
      </c>
      <c r="M137" s="13" t="s">
        <v>866</v>
      </c>
      <c r="N137" s="13" t="s">
        <v>867</v>
      </c>
      <c r="O137" s="11" t="s">
        <v>152</v>
      </c>
      <c r="P137" s="11" t="s">
        <v>132</v>
      </c>
      <c r="Q137" s="13" t="s">
        <v>868</v>
      </c>
      <c r="R137" s="15" t="s">
        <v>94</v>
      </c>
      <c r="S137" s="13"/>
      <c r="T137" s="16" t="s">
        <v>95</v>
      </c>
      <c r="U137" s="16"/>
    </row>
    <row r="138" customFormat="false" ht="23.85" hidden="false" customHeight="false" outlineLevel="0" collapsed="false">
      <c r="A138" s="11" t="n">
        <v>134</v>
      </c>
      <c r="B138" s="12" t="s">
        <v>869</v>
      </c>
      <c r="C138" s="17" t="s">
        <v>870</v>
      </c>
      <c r="D138" s="14" t="s">
        <v>853</v>
      </c>
      <c r="E138" s="11" t="s">
        <v>197</v>
      </c>
      <c r="F138" s="13" t="s">
        <v>272</v>
      </c>
      <c r="G138" s="11" t="s">
        <v>86</v>
      </c>
      <c r="H138" s="11" t="s">
        <v>87</v>
      </c>
      <c r="I138" s="11"/>
      <c r="J138" s="11" t="s">
        <v>87</v>
      </c>
      <c r="K138" s="11"/>
      <c r="L138" s="13" t="s">
        <v>488</v>
      </c>
      <c r="M138" s="13" t="s">
        <v>871</v>
      </c>
      <c r="N138" s="13" t="s">
        <v>872</v>
      </c>
      <c r="O138" s="11" t="s">
        <v>186</v>
      </c>
      <c r="P138" s="11" t="s">
        <v>92</v>
      </c>
      <c r="Q138" s="13" t="s">
        <v>582</v>
      </c>
      <c r="R138" s="11" t="s">
        <v>268</v>
      </c>
      <c r="S138" s="13" t="s">
        <v>873</v>
      </c>
      <c r="T138" s="16" t="s">
        <v>95</v>
      </c>
      <c r="U138" s="16"/>
    </row>
    <row r="139" customFormat="false" ht="23.85" hidden="false" customHeight="false" outlineLevel="0" collapsed="false">
      <c r="A139" s="11" t="n">
        <v>135</v>
      </c>
      <c r="B139" s="12" t="s">
        <v>874</v>
      </c>
      <c r="C139" s="17" t="s">
        <v>875</v>
      </c>
      <c r="D139" s="14" t="s">
        <v>853</v>
      </c>
      <c r="E139" s="11" t="s">
        <v>197</v>
      </c>
      <c r="F139" s="13" t="s">
        <v>272</v>
      </c>
      <c r="G139" s="11" t="s">
        <v>86</v>
      </c>
      <c r="H139" s="11" t="s">
        <v>87</v>
      </c>
      <c r="I139" s="11"/>
      <c r="J139" s="11" t="s">
        <v>87</v>
      </c>
      <c r="K139" s="11"/>
      <c r="L139" s="13" t="s">
        <v>488</v>
      </c>
      <c r="M139" s="13" t="s">
        <v>876</v>
      </c>
      <c r="N139" s="13" t="s">
        <v>877</v>
      </c>
      <c r="O139" s="11" t="s">
        <v>186</v>
      </c>
      <c r="P139" s="11" t="s">
        <v>132</v>
      </c>
      <c r="Q139" s="13" t="s">
        <v>734</v>
      </c>
      <c r="R139" s="11" t="s">
        <v>268</v>
      </c>
      <c r="S139" s="13"/>
      <c r="T139" s="16" t="s">
        <v>95</v>
      </c>
      <c r="U139" s="16"/>
    </row>
    <row r="140" customFormat="false" ht="23.85" hidden="false" customHeight="false" outlineLevel="0" collapsed="false">
      <c r="A140" s="11" t="n">
        <v>136</v>
      </c>
      <c r="B140" s="12" t="s">
        <v>878</v>
      </c>
      <c r="C140" s="17" t="s">
        <v>879</v>
      </c>
      <c r="D140" s="14" t="s">
        <v>853</v>
      </c>
      <c r="E140" s="11" t="s">
        <v>197</v>
      </c>
      <c r="F140" s="13" t="s">
        <v>272</v>
      </c>
      <c r="G140" s="11" t="s">
        <v>86</v>
      </c>
      <c r="H140" s="11" t="s">
        <v>87</v>
      </c>
      <c r="I140" s="11"/>
      <c r="J140" s="11" t="s">
        <v>87</v>
      </c>
      <c r="K140" s="11"/>
      <c r="L140" s="13" t="s">
        <v>880</v>
      </c>
      <c r="M140" s="13" t="s">
        <v>881</v>
      </c>
      <c r="N140" s="13" t="s">
        <v>882</v>
      </c>
      <c r="O140" s="11" t="s">
        <v>186</v>
      </c>
      <c r="P140" s="11" t="s">
        <v>166</v>
      </c>
      <c r="Q140" s="13" t="s">
        <v>883</v>
      </c>
      <c r="R140" s="11" t="s">
        <v>268</v>
      </c>
      <c r="S140" s="13"/>
      <c r="T140" s="16" t="s">
        <v>95</v>
      </c>
      <c r="U140" s="16"/>
    </row>
    <row r="141" customFormat="false" ht="23.85" hidden="false" customHeight="false" outlineLevel="0" collapsed="false">
      <c r="A141" s="11" t="n">
        <v>137</v>
      </c>
      <c r="B141" s="12" t="s">
        <v>884</v>
      </c>
      <c r="C141" s="17" t="s">
        <v>885</v>
      </c>
      <c r="D141" s="14" t="s">
        <v>853</v>
      </c>
      <c r="E141" s="11" t="s">
        <v>197</v>
      </c>
      <c r="F141" s="13" t="s">
        <v>886</v>
      </c>
      <c r="G141" s="11" t="s">
        <v>86</v>
      </c>
      <c r="H141" s="11" t="s">
        <v>86</v>
      </c>
      <c r="I141" s="11"/>
      <c r="J141" s="11" t="s">
        <v>86</v>
      </c>
      <c r="K141" s="11"/>
      <c r="L141" s="13" t="s">
        <v>488</v>
      </c>
      <c r="M141" s="13" t="s">
        <v>887</v>
      </c>
      <c r="N141" s="13" t="s">
        <v>888</v>
      </c>
      <c r="O141" s="11" t="s">
        <v>186</v>
      </c>
      <c r="P141" s="11" t="s">
        <v>132</v>
      </c>
      <c r="Q141" s="13" t="s">
        <v>187</v>
      </c>
      <c r="R141" s="15" t="s">
        <v>94</v>
      </c>
      <c r="S141" s="13"/>
      <c r="T141" s="16" t="s">
        <v>95</v>
      </c>
      <c r="U141" s="16"/>
    </row>
    <row r="142" customFormat="false" ht="57.45" hidden="false" customHeight="false" outlineLevel="0" collapsed="false">
      <c r="A142" s="11" t="n">
        <v>138</v>
      </c>
      <c r="B142" s="12" t="s">
        <v>889</v>
      </c>
      <c r="C142" s="17" t="s">
        <v>890</v>
      </c>
      <c r="D142" s="14" t="s">
        <v>891</v>
      </c>
      <c r="E142" s="11" t="s">
        <v>197</v>
      </c>
      <c r="F142" s="13" t="s">
        <v>272</v>
      </c>
      <c r="G142" s="11" t="s">
        <v>86</v>
      </c>
      <c r="H142" s="11"/>
      <c r="I142" s="11"/>
      <c r="J142" s="11"/>
      <c r="K142" s="11"/>
      <c r="L142" s="13" t="s">
        <v>892</v>
      </c>
      <c r="M142" s="13" t="s">
        <v>893</v>
      </c>
      <c r="N142" s="13" t="s">
        <v>894</v>
      </c>
      <c r="O142" s="11" t="s">
        <v>91</v>
      </c>
      <c r="P142" s="11" t="s">
        <v>166</v>
      </c>
      <c r="Q142" s="13" t="s">
        <v>895</v>
      </c>
      <c r="R142" s="11" t="s">
        <v>268</v>
      </c>
      <c r="S142" s="13"/>
      <c r="T142" s="16" t="s">
        <v>95</v>
      </c>
      <c r="U142" s="16"/>
    </row>
    <row r="143" customFormat="false" ht="35.05" hidden="false" customHeight="false" outlineLevel="0" collapsed="false">
      <c r="A143" s="11" t="n">
        <v>139</v>
      </c>
      <c r="B143" s="12" t="s">
        <v>896</v>
      </c>
      <c r="C143" s="13"/>
      <c r="D143" s="14" t="s">
        <v>891</v>
      </c>
      <c r="E143" s="11" t="s">
        <v>197</v>
      </c>
      <c r="F143" s="13" t="s">
        <v>897</v>
      </c>
      <c r="G143" s="11" t="s">
        <v>86</v>
      </c>
      <c r="H143" s="11"/>
      <c r="I143" s="11"/>
      <c r="J143" s="11"/>
      <c r="K143" s="11"/>
      <c r="L143" s="13" t="s">
        <v>898</v>
      </c>
      <c r="M143" s="13" t="s">
        <v>899</v>
      </c>
      <c r="N143" s="13" t="s">
        <v>900</v>
      </c>
      <c r="O143" s="11" t="s">
        <v>91</v>
      </c>
      <c r="P143" s="11" t="s">
        <v>92</v>
      </c>
      <c r="Q143" s="13" t="s">
        <v>901</v>
      </c>
      <c r="R143" s="11" t="s">
        <v>268</v>
      </c>
      <c r="S143" s="13"/>
      <c r="T143" s="16" t="s">
        <v>95</v>
      </c>
      <c r="U143" s="16"/>
    </row>
    <row r="144" customFormat="false" ht="23.85" hidden="false" customHeight="false" outlineLevel="0" collapsed="false">
      <c r="A144" s="11" t="n">
        <v>140</v>
      </c>
      <c r="B144" s="12" t="s">
        <v>902</v>
      </c>
      <c r="C144" s="13"/>
      <c r="D144" s="14" t="s">
        <v>891</v>
      </c>
      <c r="E144" s="11" t="s">
        <v>298</v>
      </c>
      <c r="F144" s="13" t="s">
        <v>903</v>
      </c>
      <c r="G144" s="11" t="s">
        <v>86</v>
      </c>
      <c r="H144" s="11"/>
      <c r="I144" s="11"/>
      <c r="J144" s="11"/>
      <c r="K144" s="11" t="s">
        <v>87</v>
      </c>
      <c r="L144" s="13"/>
      <c r="M144" s="13" t="s">
        <v>904</v>
      </c>
      <c r="N144" s="13" t="s">
        <v>905</v>
      </c>
      <c r="O144" s="11" t="s">
        <v>91</v>
      </c>
      <c r="P144" s="11" t="s">
        <v>92</v>
      </c>
      <c r="Q144" s="13" t="s">
        <v>582</v>
      </c>
      <c r="R144" s="11" t="s">
        <v>268</v>
      </c>
      <c r="S144" s="13"/>
      <c r="T144" s="16" t="s">
        <v>95</v>
      </c>
      <c r="U144" s="16"/>
    </row>
    <row r="145" customFormat="false" ht="46.25" hidden="false" customHeight="false" outlineLevel="0" collapsed="false">
      <c r="A145" s="11" t="n">
        <v>141</v>
      </c>
      <c r="B145" s="12" t="s">
        <v>906</v>
      </c>
      <c r="C145" s="17" t="s">
        <v>907</v>
      </c>
      <c r="D145" s="14" t="s">
        <v>891</v>
      </c>
      <c r="E145" s="11" t="s">
        <v>197</v>
      </c>
      <c r="F145" s="13" t="s">
        <v>908</v>
      </c>
      <c r="G145" s="11" t="s">
        <v>86</v>
      </c>
      <c r="H145" s="11"/>
      <c r="I145" s="11"/>
      <c r="J145" s="11" t="s">
        <v>86</v>
      </c>
      <c r="K145" s="11" t="s">
        <v>86</v>
      </c>
      <c r="L145" s="13" t="s">
        <v>909</v>
      </c>
      <c r="M145" s="13" t="s">
        <v>910</v>
      </c>
      <c r="N145" s="13" t="s">
        <v>911</v>
      </c>
      <c r="O145" s="11" t="s">
        <v>91</v>
      </c>
      <c r="P145" s="11" t="s">
        <v>92</v>
      </c>
      <c r="Q145" s="13" t="s">
        <v>912</v>
      </c>
      <c r="R145" s="15" t="s">
        <v>234</v>
      </c>
      <c r="S145" s="13" t="s">
        <v>913</v>
      </c>
      <c r="T145" s="16" t="s">
        <v>95</v>
      </c>
      <c r="U145" s="16"/>
    </row>
    <row r="146" customFormat="false" ht="35.05" hidden="false" customHeight="false" outlineLevel="0" collapsed="false">
      <c r="A146" s="11" t="n">
        <v>142</v>
      </c>
      <c r="B146" s="12" t="s">
        <v>914</v>
      </c>
      <c r="C146" s="17" t="s">
        <v>915</v>
      </c>
      <c r="D146" s="14" t="s">
        <v>891</v>
      </c>
      <c r="E146" s="11" t="s">
        <v>197</v>
      </c>
      <c r="F146" s="13" t="s">
        <v>272</v>
      </c>
      <c r="G146" s="11" t="s">
        <v>86</v>
      </c>
      <c r="H146" s="11"/>
      <c r="I146" s="11"/>
      <c r="J146" s="11"/>
      <c r="K146" s="11"/>
      <c r="L146" s="13" t="s">
        <v>916</v>
      </c>
      <c r="M146" s="13" t="s">
        <v>917</v>
      </c>
      <c r="N146" s="13" t="s">
        <v>918</v>
      </c>
      <c r="O146" s="11" t="s">
        <v>152</v>
      </c>
      <c r="P146" s="11" t="s">
        <v>166</v>
      </c>
      <c r="Q146" s="13" t="s">
        <v>919</v>
      </c>
      <c r="R146" s="11" t="s">
        <v>268</v>
      </c>
      <c r="S146" s="13"/>
      <c r="T146" s="16" t="s">
        <v>95</v>
      </c>
      <c r="U146" s="16"/>
    </row>
    <row r="147" customFormat="false" ht="35.05" hidden="false" customHeight="false" outlineLevel="0" collapsed="false">
      <c r="A147" s="11" t="n">
        <v>143</v>
      </c>
      <c r="B147" s="12" t="s">
        <v>920</v>
      </c>
      <c r="C147" s="17" t="s">
        <v>921</v>
      </c>
      <c r="D147" s="14" t="s">
        <v>891</v>
      </c>
      <c r="E147" s="11" t="s">
        <v>197</v>
      </c>
      <c r="F147" s="13" t="s">
        <v>272</v>
      </c>
      <c r="G147" s="11" t="s">
        <v>86</v>
      </c>
      <c r="H147" s="11"/>
      <c r="I147" s="11"/>
      <c r="J147" s="11"/>
      <c r="K147" s="11"/>
      <c r="L147" s="13" t="s">
        <v>922</v>
      </c>
      <c r="M147" s="13" t="s">
        <v>923</v>
      </c>
      <c r="N147" s="13" t="s">
        <v>924</v>
      </c>
      <c r="O147" s="11" t="s">
        <v>152</v>
      </c>
      <c r="P147" s="11" t="s">
        <v>166</v>
      </c>
      <c r="Q147" s="13" t="s">
        <v>925</v>
      </c>
      <c r="R147" s="11" t="s">
        <v>268</v>
      </c>
      <c r="S147" s="13"/>
      <c r="T147" s="16" t="s">
        <v>95</v>
      </c>
      <c r="U147" s="16"/>
    </row>
    <row r="148" customFormat="false" ht="23.85" hidden="false" customHeight="false" outlineLevel="0" collapsed="false">
      <c r="A148" s="11" t="n">
        <v>144</v>
      </c>
      <c r="B148" s="12" t="s">
        <v>926</v>
      </c>
      <c r="C148" s="13"/>
      <c r="D148" s="14" t="s">
        <v>891</v>
      </c>
      <c r="E148" s="11" t="s">
        <v>104</v>
      </c>
      <c r="F148" s="13" t="s">
        <v>927</v>
      </c>
      <c r="G148" s="11" t="s">
        <v>86</v>
      </c>
      <c r="H148" s="11"/>
      <c r="I148" s="11"/>
      <c r="J148" s="11"/>
      <c r="K148" s="11"/>
      <c r="L148" s="13" t="s">
        <v>928</v>
      </c>
      <c r="M148" s="13" t="s">
        <v>929</v>
      </c>
      <c r="N148" s="13" t="s">
        <v>423</v>
      </c>
      <c r="O148" s="11" t="s">
        <v>152</v>
      </c>
      <c r="P148" s="11" t="s">
        <v>166</v>
      </c>
      <c r="Q148" s="13" t="s">
        <v>930</v>
      </c>
      <c r="R148" s="11" t="s">
        <v>268</v>
      </c>
      <c r="S148" s="13"/>
      <c r="T148" s="16" t="s">
        <v>95</v>
      </c>
      <c r="U148" s="16"/>
    </row>
    <row r="149" customFormat="false" ht="23.85" hidden="false" customHeight="false" outlineLevel="0" collapsed="false">
      <c r="A149" s="11" t="n">
        <v>145</v>
      </c>
      <c r="B149" s="12" t="s">
        <v>931</v>
      </c>
      <c r="C149" s="13"/>
      <c r="D149" s="14" t="s">
        <v>891</v>
      </c>
      <c r="E149" s="11" t="s">
        <v>298</v>
      </c>
      <c r="F149" s="13" t="s">
        <v>903</v>
      </c>
      <c r="G149" s="11" t="s">
        <v>86</v>
      </c>
      <c r="H149" s="11"/>
      <c r="I149" s="11"/>
      <c r="J149" s="11"/>
      <c r="K149" s="11" t="s">
        <v>87</v>
      </c>
      <c r="L149" s="13"/>
      <c r="M149" s="13" t="s">
        <v>932</v>
      </c>
      <c r="N149" s="13" t="s">
        <v>933</v>
      </c>
      <c r="O149" s="11" t="s">
        <v>152</v>
      </c>
      <c r="P149" s="11" t="s">
        <v>92</v>
      </c>
      <c r="Q149" s="13" t="s">
        <v>582</v>
      </c>
      <c r="R149" s="11" t="s">
        <v>268</v>
      </c>
      <c r="S149" s="13"/>
      <c r="T149" s="16" t="s">
        <v>95</v>
      </c>
      <c r="U149" s="16"/>
    </row>
    <row r="150" customFormat="false" ht="35.05" hidden="false" customHeight="false" outlineLevel="0" collapsed="false">
      <c r="A150" s="11" t="n">
        <v>146</v>
      </c>
      <c r="B150" s="12" t="s">
        <v>934</v>
      </c>
      <c r="C150" s="13"/>
      <c r="D150" s="14" t="s">
        <v>891</v>
      </c>
      <c r="E150" s="11" t="s">
        <v>298</v>
      </c>
      <c r="F150" s="13" t="s">
        <v>935</v>
      </c>
      <c r="G150" s="11" t="s">
        <v>86</v>
      </c>
      <c r="H150" s="11"/>
      <c r="I150" s="11"/>
      <c r="J150" s="11"/>
      <c r="K150" s="11" t="s">
        <v>86</v>
      </c>
      <c r="L150" s="13" t="s">
        <v>286</v>
      </c>
      <c r="M150" s="13" t="s">
        <v>648</v>
      </c>
      <c r="N150" s="13" t="s">
        <v>936</v>
      </c>
      <c r="O150" s="11" t="s">
        <v>152</v>
      </c>
      <c r="P150" s="11" t="s">
        <v>132</v>
      </c>
      <c r="Q150" s="13" t="s">
        <v>604</v>
      </c>
      <c r="R150" s="15" t="s">
        <v>94</v>
      </c>
      <c r="S150" s="13"/>
      <c r="T150" s="16" t="s">
        <v>95</v>
      </c>
      <c r="U150" s="16"/>
    </row>
    <row r="151" customFormat="false" ht="15" hidden="false" customHeight="false" outlineLevel="0" collapsed="false">
      <c r="A151" s="11" t="n">
        <v>147</v>
      </c>
      <c r="B151" s="12" t="s">
        <v>937</v>
      </c>
      <c r="C151" s="13"/>
      <c r="D151" s="14" t="s">
        <v>891</v>
      </c>
      <c r="E151" s="11" t="s">
        <v>298</v>
      </c>
      <c r="F151" s="13" t="s">
        <v>938</v>
      </c>
      <c r="G151" s="11" t="s">
        <v>86</v>
      </c>
      <c r="H151" s="11"/>
      <c r="I151" s="11"/>
      <c r="J151" s="11"/>
      <c r="K151" s="11" t="s">
        <v>86</v>
      </c>
      <c r="L151" s="13" t="s">
        <v>286</v>
      </c>
      <c r="M151" s="13" t="s">
        <v>648</v>
      </c>
      <c r="N151" s="13" t="s">
        <v>802</v>
      </c>
      <c r="O151" s="11" t="s">
        <v>152</v>
      </c>
      <c r="P151" s="11" t="s">
        <v>132</v>
      </c>
      <c r="Q151" s="13" t="s">
        <v>604</v>
      </c>
      <c r="R151" s="15" t="s">
        <v>94</v>
      </c>
      <c r="S151" s="13"/>
      <c r="T151" s="16" t="s">
        <v>95</v>
      </c>
      <c r="U151" s="16"/>
    </row>
    <row r="152" customFormat="false" ht="15" hidden="false" customHeight="false" outlineLevel="0" collapsed="false">
      <c r="A152" s="11" t="n">
        <v>148</v>
      </c>
      <c r="B152" s="12" t="s">
        <v>939</v>
      </c>
      <c r="C152" s="13"/>
      <c r="D152" s="14" t="s">
        <v>891</v>
      </c>
      <c r="E152" s="11" t="s">
        <v>298</v>
      </c>
      <c r="F152" s="13" t="s">
        <v>938</v>
      </c>
      <c r="G152" s="11" t="s">
        <v>86</v>
      </c>
      <c r="H152" s="11"/>
      <c r="I152" s="11"/>
      <c r="J152" s="11"/>
      <c r="K152" s="11" t="s">
        <v>86</v>
      </c>
      <c r="L152" s="13" t="s">
        <v>286</v>
      </c>
      <c r="M152" s="13" t="s">
        <v>940</v>
      </c>
      <c r="N152" s="13" t="s">
        <v>941</v>
      </c>
      <c r="O152" s="11" t="s">
        <v>152</v>
      </c>
      <c r="P152" s="11" t="s">
        <v>132</v>
      </c>
      <c r="Q152" s="13" t="s">
        <v>604</v>
      </c>
      <c r="R152" s="15" t="s">
        <v>94</v>
      </c>
      <c r="S152" s="13"/>
      <c r="T152" s="16" t="s">
        <v>95</v>
      </c>
      <c r="U152" s="16"/>
    </row>
    <row r="153" customFormat="false" ht="15" hidden="false" customHeight="false" outlineLevel="0" collapsed="false">
      <c r="A153" s="11" t="n">
        <v>149</v>
      </c>
      <c r="B153" s="12" t="s">
        <v>942</v>
      </c>
      <c r="C153" s="13"/>
      <c r="D153" s="14" t="s">
        <v>891</v>
      </c>
      <c r="E153" s="11" t="s">
        <v>298</v>
      </c>
      <c r="F153" s="13" t="s">
        <v>938</v>
      </c>
      <c r="G153" s="11" t="s">
        <v>86</v>
      </c>
      <c r="H153" s="11"/>
      <c r="I153" s="11"/>
      <c r="J153" s="11"/>
      <c r="K153" s="11" t="s">
        <v>86</v>
      </c>
      <c r="L153" s="13" t="s">
        <v>286</v>
      </c>
      <c r="M153" s="13" t="s">
        <v>648</v>
      </c>
      <c r="N153" s="13" t="s">
        <v>943</v>
      </c>
      <c r="O153" s="11" t="s">
        <v>152</v>
      </c>
      <c r="P153" s="11" t="s">
        <v>132</v>
      </c>
      <c r="Q153" s="13" t="s">
        <v>604</v>
      </c>
      <c r="R153" s="15" t="s">
        <v>94</v>
      </c>
      <c r="S153" s="13"/>
      <c r="T153" s="16" t="s">
        <v>95</v>
      </c>
      <c r="U153" s="16"/>
    </row>
    <row r="154" customFormat="false" ht="23.85" hidden="false" customHeight="false" outlineLevel="0" collapsed="false">
      <c r="A154" s="11" t="n">
        <v>150</v>
      </c>
      <c r="B154" s="12" t="s">
        <v>944</v>
      </c>
      <c r="C154" s="13"/>
      <c r="D154" s="14" t="s">
        <v>891</v>
      </c>
      <c r="E154" s="11" t="s">
        <v>298</v>
      </c>
      <c r="F154" s="13" t="s">
        <v>945</v>
      </c>
      <c r="G154" s="11" t="s">
        <v>86</v>
      </c>
      <c r="H154" s="11"/>
      <c r="I154" s="11"/>
      <c r="J154" s="11"/>
      <c r="K154" s="11" t="s">
        <v>86</v>
      </c>
      <c r="L154" s="13" t="s">
        <v>488</v>
      </c>
      <c r="M154" s="13" t="s">
        <v>946</v>
      </c>
      <c r="N154" s="13" t="s">
        <v>947</v>
      </c>
      <c r="O154" s="11" t="s">
        <v>152</v>
      </c>
      <c r="P154" s="11" t="s">
        <v>132</v>
      </c>
      <c r="Q154" s="13" t="s">
        <v>187</v>
      </c>
      <c r="R154" s="15" t="s">
        <v>94</v>
      </c>
      <c r="S154" s="13"/>
      <c r="T154" s="16" t="s">
        <v>95</v>
      </c>
      <c r="U154" s="16"/>
    </row>
    <row r="155" customFormat="false" ht="23.85" hidden="false" customHeight="false" outlineLevel="0" collapsed="false">
      <c r="A155" s="11" t="n">
        <v>151</v>
      </c>
      <c r="B155" s="12" t="s">
        <v>948</v>
      </c>
      <c r="C155" s="13"/>
      <c r="D155" s="14" t="s">
        <v>891</v>
      </c>
      <c r="E155" s="11" t="s">
        <v>298</v>
      </c>
      <c r="F155" s="13" t="s">
        <v>949</v>
      </c>
      <c r="G155" s="11" t="s">
        <v>86</v>
      </c>
      <c r="H155" s="11"/>
      <c r="I155" s="11"/>
      <c r="J155" s="11"/>
      <c r="K155" s="11" t="s">
        <v>86</v>
      </c>
      <c r="L155" s="13" t="s">
        <v>273</v>
      </c>
      <c r="M155" s="13" t="s">
        <v>950</v>
      </c>
      <c r="N155" s="13" t="s">
        <v>951</v>
      </c>
      <c r="O155" s="11" t="s">
        <v>152</v>
      </c>
      <c r="P155" s="11" t="s">
        <v>132</v>
      </c>
      <c r="Q155" s="13" t="s">
        <v>952</v>
      </c>
      <c r="R155" s="15" t="s">
        <v>234</v>
      </c>
      <c r="S155" s="13" t="s">
        <v>953</v>
      </c>
      <c r="T155" s="16" t="s">
        <v>95</v>
      </c>
      <c r="U155" s="16"/>
    </row>
    <row r="156" customFormat="false" ht="23.85" hidden="false" customHeight="false" outlineLevel="0" collapsed="false">
      <c r="A156" s="11" t="n">
        <v>152</v>
      </c>
      <c r="B156" s="12" t="s">
        <v>954</v>
      </c>
      <c r="C156" s="13"/>
      <c r="D156" s="14" t="s">
        <v>891</v>
      </c>
      <c r="E156" s="11" t="s">
        <v>298</v>
      </c>
      <c r="F156" s="13" t="s">
        <v>938</v>
      </c>
      <c r="G156" s="11" t="s">
        <v>86</v>
      </c>
      <c r="H156" s="11"/>
      <c r="I156" s="11"/>
      <c r="J156" s="11"/>
      <c r="K156" s="11" t="s">
        <v>86</v>
      </c>
      <c r="L156" s="13" t="s">
        <v>273</v>
      </c>
      <c r="M156" s="13" t="s">
        <v>648</v>
      </c>
      <c r="N156" s="13" t="s">
        <v>955</v>
      </c>
      <c r="O156" s="11" t="s">
        <v>152</v>
      </c>
      <c r="P156" s="11" t="s">
        <v>132</v>
      </c>
      <c r="Q156" s="13" t="s">
        <v>952</v>
      </c>
      <c r="R156" s="15" t="s">
        <v>234</v>
      </c>
      <c r="S156" s="13" t="s">
        <v>953</v>
      </c>
      <c r="T156" s="16" t="s">
        <v>95</v>
      </c>
      <c r="U156" s="16"/>
    </row>
    <row r="157" customFormat="false" ht="23.85" hidden="false" customHeight="false" outlineLevel="0" collapsed="false">
      <c r="A157" s="11" t="n">
        <v>153</v>
      </c>
      <c r="B157" s="12" t="s">
        <v>956</v>
      </c>
      <c r="C157" s="13"/>
      <c r="D157" s="14" t="s">
        <v>891</v>
      </c>
      <c r="E157" s="11" t="s">
        <v>298</v>
      </c>
      <c r="F157" s="13" t="s">
        <v>938</v>
      </c>
      <c r="G157" s="11" t="s">
        <v>86</v>
      </c>
      <c r="H157" s="11"/>
      <c r="I157" s="11"/>
      <c r="J157" s="11"/>
      <c r="K157" s="11" t="s">
        <v>86</v>
      </c>
      <c r="L157" s="13" t="s">
        <v>273</v>
      </c>
      <c r="M157" s="13" t="s">
        <v>648</v>
      </c>
      <c r="N157" s="13" t="s">
        <v>957</v>
      </c>
      <c r="O157" s="11" t="s">
        <v>152</v>
      </c>
      <c r="P157" s="11" t="s">
        <v>132</v>
      </c>
      <c r="Q157" s="13" t="s">
        <v>952</v>
      </c>
      <c r="R157" s="15" t="s">
        <v>234</v>
      </c>
      <c r="S157" s="13" t="s">
        <v>953</v>
      </c>
      <c r="T157" s="16" t="s">
        <v>95</v>
      </c>
      <c r="U157" s="16"/>
    </row>
    <row r="158" customFormat="false" ht="15" hidden="false" customHeight="false" outlineLevel="0" collapsed="false">
      <c r="A158" s="11" t="n">
        <v>154</v>
      </c>
      <c r="B158" s="12" t="s">
        <v>958</v>
      </c>
      <c r="C158" s="13"/>
      <c r="D158" s="14" t="s">
        <v>891</v>
      </c>
      <c r="E158" s="11" t="s">
        <v>298</v>
      </c>
      <c r="F158" s="13" t="s">
        <v>938</v>
      </c>
      <c r="G158" s="11" t="s">
        <v>86</v>
      </c>
      <c r="H158" s="11"/>
      <c r="I158" s="11"/>
      <c r="J158" s="11"/>
      <c r="K158" s="11" t="s">
        <v>86</v>
      </c>
      <c r="L158" s="13" t="s">
        <v>286</v>
      </c>
      <c r="M158" s="13" t="s">
        <v>648</v>
      </c>
      <c r="N158" s="13" t="s">
        <v>959</v>
      </c>
      <c r="O158" s="11" t="s">
        <v>186</v>
      </c>
      <c r="P158" s="11" t="s">
        <v>132</v>
      </c>
      <c r="Q158" s="13" t="s">
        <v>604</v>
      </c>
      <c r="R158" s="15" t="s">
        <v>94</v>
      </c>
      <c r="S158" s="13"/>
      <c r="T158" s="16" t="s">
        <v>95</v>
      </c>
      <c r="U158" s="16"/>
    </row>
    <row r="159" customFormat="false" ht="35.05" hidden="false" customHeight="false" outlineLevel="0" collapsed="false">
      <c r="A159" s="11" t="n">
        <v>155</v>
      </c>
      <c r="B159" s="12" t="s">
        <v>960</v>
      </c>
      <c r="C159" s="17" t="s">
        <v>961</v>
      </c>
      <c r="D159" s="14" t="s">
        <v>891</v>
      </c>
      <c r="E159" s="11" t="s">
        <v>197</v>
      </c>
      <c r="F159" s="13" t="s">
        <v>962</v>
      </c>
      <c r="G159" s="11" t="s">
        <v>86</v>
      </c>
      <c r="H159" s="11"/>
      <c r="I159" s="11"/>
      <c r="J159" s="11"/>
      <c r="K159" s="11" t="s">
        <v>86</v>
      </c>
      <c r="L159" s="13" t="s">
        <v>488</v>
      </c>
      <c r="M159" s="13" t="s">
        <v>963</v>
      </c>
      <c r="N159" s="13" t="s">
        <v>964</v>
      </c>
      <c r="O159" s="11" t="s">
        <v>186</v>
      </c>
      <c r="P159" s="11" t="s">
        <v>166</v>
      </c>
      <c r="Q159" s="13" t="s">
        <v>965</v>
      </c>
      <c r="R159" s="15" t="s">
        <v>234</v>
      </c>
      <c r="S159" s="13" t="s">
        <v>913</v>
      </c>
      <c r="T159" s="16" t="s">
        <v>95</v>
      </c>
      <c r="U159" s="16"/>
    </row>
    <row r="160" customFormat="false" ht="23.85" hidden="false" customHeight="false" outlineLevel="0" collapsed="false">
      <c r="A160" s="11" t="n">
        <v>156</v>
      </c>
      <c r="B160" s="12" t="s">
        <v>966</v>
      </c>
      <c r="C160" s="13"/>
      <c r="D160" s="14" t="s">
        <v>891</v>
      </c>
      <c r="E160" s="11" t="s">
        <v>298</v>
      </c>
      <c r="F160" s="13" t="s">
        <v>938</v>
      </c>
      <c r="G160" s="11" t="s">
        <v>86</v>
      </c>
      <c r="H160" s="11"/>
      <c r="I160" s="11"/>
      <c r="J160" s="11"/>
      <c r="K160" s="11" t="s">
        <v>86</v>
      </c>
      <c r="L160" s="13" t="s">
        <v>286</v>
      </c>
      <c r="M160" s="13" t="s">
        <v>648</v>
      </c>
      <c r="N160" s="13" t="s">
        <v>957</v>
      </c>
      <c r="O160" s="11" t="s">
        <v>186</v>
      </c>
      <c r="P160" s="11" t="s">
        <v>166</v>
      </c>
      <c r="Q160" s="13" t="s">
        <v>952</v>
      </c>
      <c r="R160" s="15" t="s">
        <v>234</v>
      </c>
      <c r="S160" s="13" t="s">
        <v>953</v>
      </c>
      <c r="T160" s="16" t="s">
        <v>95</v>
      </c>
      <c r="U160" s="16"/>
    </row>
    <row r="161" customFormat="false" ht="23.85" hidden="false" customHeight="false" outlineLevel="0" collapsed="false">
      <c r="A161" s="11" t="n">
        <v>157</v>
      </c>
      <c r="B161" s="12" t="s">
        <v>967</v>
      </c>
      <c r="C161" s="13"/>
      <c r="D161" s="14" t="s">
        <v>891</v>
      </c>
      <c r="E161" s="11" t="s">
        <v>112</v>
      </c>
      <c r="F161" s="13" t="s">
        <v>253</v>
      </c>
      <c r="G161" s="11" t="s">
        <v>86</v>
      </c>
      <c r="H161" s="11"/>
      <c r="I161" s="11"/>
      <c r="J161" s="11"/>
      <c r="K161" s="11" t="s">
        <v>86</v>
      </c>
      <c r="L161" s="13" t="s">
        <v>488</v>
      </c>
      <c r="M161" s="13" t="s">
        <v>968</v>
      </c>
      <c r="N161" s="13" t="s">
        <v>957</v>
      </c>
      <c r="O161" s="11" t="s">
        <v>186</v>
      </c>
      <c r="P161" s="11" t="s">
        <v>132</v>
      </c>
      <c r="Q161" s="13" t="s">
        <v>604</v>
      </c>
      <c r="R161" s="15" t="s">
        <v>234</v>
      </c>
      <c r="S161" s="13" t="s">
        <v>969</v>
      </c>
      <c r="T161" s="16" t="s">
        <v>95</v>
      </c>
      <c r="U161" s="16"/>
    </row>
    <row r="162" customFormat="false" ht="23.85" hidden="false" customHeight="false" outlineLevel="0" collapsed="false">
      <c r="A162" s="11" t="n">
        <v>158</v>
      </c>
      <c r="B162" s="12" t="s">
        <v>970</v>
      </c>
      <c r="C162" s="13"/>
      <c r="D162" s="14" t="s">
        <v>891</v>
      </c>
      <c r="E162" s="11" t="s">
        <v>112</v>
      </c>
      <c r="F162" s="13" t="s">
        <v>253</v>
      </c>
      <c r="G162" s="11" t="s">
        <v>86</v>
      </c>
      <c r="H162" s="11"/>
      <c r="I162" s="11"/>
      <c r="J162" s="11"/>
      <c r="K162" s="11" t="s">
        <v>86</v>
      </c>
      <c r="L162" s="13" t="s">
        <v>286</v>
      </c>
      <c r="M162" s="13" t="s">
        <v>648</v>
      </c>
      <c r="N162" s="13" t="s">
        <v>957</v>
      </c>
      <c r="O162" s="11" t="s">
        <v>186</v>
      </c>
      <c r="P162" s="11" t="s">
        <v>132</v>
      </c>
      <c r="Q162" s="13" t="s">
        <v>604</v>
      </c>
      <c r="R162" s="15" t="s">
        <v>234</v>
      </c>
      <c r="S162" s="13" t="s">
        <v>969</v>
      </c>
      <c r="T162" s="16" t="s">
        <v>95</v>
      </c>
      <c r="U162" s="16"/>
    </row>
    <row r="163" customFormat="false" ht="35.05" hidden="false" customHeight="false" outlineLevel="0" collapsed="false">
      <c r="A163" s="11" t="n">
        <v>159</v>
      </c>
      <c r="B163" s="12" t="s">
        <v>971</v>
      </c>
      <c r="C163" s="17" t="s">
        <v>972</v>
      </c>
      <c r="D163" s="14" t="s">
        <v>891</v>
      </c>
      <c r="E163" s="11" t="s">
        <v>197</v>
      </c>
      <c r="F163" s="13" t="s">
        <v>973</v>
      </c>
      <c r="G163" s="11" t="s">
        <v>86</v>
      </c>
      <c r="H163" s="11"/>
      <c r="I163" s="11"/>
      <c r="J163" s="11"/>
      <c r="K163" s="11" t="s">
        <v>86</v>
      </c>
      <c r="L163" s="13" t="s">
        <v>974</v>
      </c>
      <c r="M163" s="13" t="s">
        <v>975</v>
      </c>
      <c r="N163" s="13" t="s">
        <v>976</v>
      </c>
      <c r="O163" s="11" t="s">
        <v>202</v>
      </c>
      <c r="P163" s="11" t="s">
        <v>166</v>
      </c>
      <c r="Q163" s="13" t="s">
        <v>977</v>
      </c>
      <c r="R163" s="15" t="s">
        <v>234</v>
      </c>
      <c r="S163" s="13" t="s">
        <v>913</v>
      </c>
      <c r="T163" s="16" t="s">
        <v>95</v>
      </c>
      <c r="U163" s="16"/>
    </row>
    <row r="164" customFormat="false" ht="35.05" hidden="false" customHeight="false" outlineLevel="0" collapsed="false">
      <c r="A164" s="11" t="n">
        <v>160</v>
      </c>
      <c r="B164" s="12" t="s">
        <v>978</v>
      </c>
      <c r="C164" s="17" t="s">
        <v>979</v>
      </c>
      <c r="D164" s="14" t="s">
        <v>891</v>
      </c>
      <c r="E164" s="11" t="s">
        <v>197</v>
      </c>
      <c r="F164" s="13" t="s">
        <v>980</v>
      </c>
      <c r="G164" s="11" t="s">
        <v>86</v>
      </c>
      <c r="H164" s="11"/>
      <c r="I164" s="11"/>
      <c r="J164" s="11"/>
      <c r="K164" s="11" t="s">
        <v>86</v>
      </c>
      <c r="L164" s="13" t="s">
        <v>974</v>
      </c>
      <c r="M164" s="13" t="s">
        <v>981</v>
      </c>
      <c r="N164" s="13" t="s">
        <v>202</v>
      </c>
      <c r="O164" s="11" t="s">
        <v>202</v>
      </c>
      <c r="P164" s="11" t="s">
        <v>166</v>
      </c>
      <c r="Q164" s="13" t="s">
        <v>982</v>
      </c>
      <c r="R164" s="15" t="s">
        <v>234</v>
      </c>
      <c r="S164" s="13" t="s">
        <v>913</v>
      </c>
      <c r="T164" s="16" t="s">
        <v>95</v>
      </c>
      <c r="U164" s="16"/>
    </row>
    <row r="165" customFormat="false" ht="23.85" hidden="false" customHeight="false" outlineLevel="0" collapsed="false">
      <c r="A165" s="11" t="n">
        <v>161</v>
      </c>
      <c r="B165" s="12" t="s">
        <v>983</v>
      </c>
      <c r="C165" s="17" t="s">
        <v>984</v>
      </c>
      <c r="D165" s="14" t="s">
        <v>985</v>
      </c>
      <c r="E165" s="11" t="s">
        <v>104</v>
      </c>
      <c r="F165" s="13" t="s">
        <v>986</v>
      </c>
      <c r="G165" s="11"/>
      <c r="H165" s="11"/>
      <c r="I165" s="11" t="s">
        <v>86</v>
      </c>
      <c r="J165" s="11"/>
      <c r="K165" s="11" t="s">
        <v>86</v>
      </c>
      <c r="L165" s="13" t="s">
        <v>286</v>
      </c>
      <c r="M165" s="13" t="s">
        <v>987</v>
      </c>
      <c r="N165" s="13" t="s">
        <v>988</v>
      </c>
      <c r="O165" s="11" t="s">
        <v>152</v>
      </c>
      <c r="P165" s="11" t="s">
        <v>132</v>
      </c>
      <c r="Q165" s="13" t="s">
        <v>187</v>
      </c>
      <c r="R165" s="15" t="s">
        <v>94</v>
      </c>
      <c r="S165" s="13"/>
      <c r="T165" s="16" t="s">
        <v>95</v>
      </c>
      <c r="U165" s="16"/>
    </row>
    <row r="166" customFormat="false" ht="23.85" hidden="false" customHeight="false" outlineLevel="0" collapsed="false">
      <c r="A166" s="11" t="n">
        <v>162</v>
      </c>
      <c r="B166" s="12" t="s">
        <v>989</v>
      </c>
      <c r="C166" s="17" t="s">
        <v>990</v>
      </c>
      <c r="D166" s="14" t="s">
        <v>985</v>
      </c>
      <c r="E166" s="11" t="s">
        <v>197</v>
      </c>
      <c r="F166" s="13" t="s">
        <v>991</v>
      </c>
      <c r="G166" s="11"/>
      <c r="H166" s="11"/>
      <c r="I166" s="11" t="s">
        <v>86</v>
      </c>
      <c r="J166" s="11"/>
      <c r="K166" s="11" t="s">
        <v>86</v>
      </c>
      <c r="L166" s="13" t="s">
        <v>286</v>
      </c>
      <c r="M166" s="13" t="s">
        <v>992</v>
      </c>
      <c r="N166" s="13" t="s">
        <v>993</v>
      </c>
      <c r="O166" s="11" t="s">
        <v>152</v>
      </c>
      <c r="P166" s="11" t="s">
        <v>132</v>
      </c>
      <c r="Q166" s="13" t="s">
        <v>187</v>
      </c>
      <c r="R166" s="15" t="s">
        <v>94</v>
      </c>
      <c r="S166" s="13"/>
      <c r="T166" s="16" t="s">
        <v>95</v>
      </c>
      <c r="U166" s="16"/>
    </row>
    <row r="167" customFormat="false" ht="15" hidden="false" customHeight="false" outlineLevel="0" collapsed="false">
      <c r="A167" s="11" t="n">
        <v>163</v>
      </c>
      <c r="B167" s="12" t="s">
        <v>994</v>
      </c>
      <c r="C167" s="13"/>
      <c r="D167" s="14" t="s">
        <v>985</v>
      </c>
      <c r="E167" s="11" t="s">
        <v>112</v>
      </c>
      <c r="F167" s="13" t="s">
        <v>995</v>
      </c>
      <c r="G167" s="11"/>
      <c r="H167" s="11"/>
      <c r="I167" s="11" t="s">
        <v>86</v>
      </c>
      <c r="J167" s="11" t="s">
        <v>86</v>
      </c>
      <c r="K167" s="11"/>
      <c r="L167" s="13" t="s">
        <v>286</v>
      </c>
      <c r="M167" s="13" t="s">
        <v>996</v>
      </c>
      <c r="N167" s="13" t="s">
        <v>997</v>
      </c>
      <c r="O167" s="11" t="s">
        <v>152</v>
      </c>
      <c r="P167" s="11" t="s">
        <v>92</v>
      </c>
      <c r="Q167" s="13" t="s">
        <v>187</v>
      </c>
      <c r="R167" s="15" t="s">
        <v>94</v>
      </c>
      <c r="S167" s="13"/>
      <c r="T167" s="16" t="s">
        <v>95</v>
      </c>
      <c r="U167" s="16"/>
    </row>
    <row r="168" customFormat="false" ht="23.85" hidden="false" customHeight="false" outlineLevel="0" collapsed="false">
      <c r="A168" s="11" t="n">
        <v>164</v>
      </c>
      <c r="B168" s="12" t="s">
        <v>998</v>
      </c>
      <c r="C168" s="13"/>
      <c r="D168" s="14" t="s">
        <v>985</v>
      </c>
      <c r="E168" s="11" t="s">
        <v>112</v>
      </c>
      <c r="F168" s="13" t="s">
        <v>999</v>
      </c>
      <c r="G168" s="11"/>
      <c r="H168" s="11"/>
      <c r="I168" s="11" t="s">
        <v>86</v>
      </c>
      <c r="J168" s="11"/>
      <c r="K168" s="11" t="s">
        <v>86</v>
      </c>
      <c r="L168" s="13" t="s">
        <v>286</v>
      </c>
      <c r="M168" s="13" t="s">
        <v>1000</v>
      </c>
      <c r="N168" s="13" t="s">
        <v>1001</v>
      </c>
      <c r="O168" s="11" t="s">
        <v>152</v>
      </c>
      <c r="P168" s="11" t="s">
        <v>92</v>
      </c>
      <c r="Q168" s="13" t="s">
        <v>187</v>
      </c>
      <c r="R168" s="15" t="s">
        <v>94</v>
      </c>
      <c r="S168" s="13"/>
      <c r="T168" s="16" t="s">
        <v>95</v>
      </c>
      <c r="U168" s="16"/>
    </row>
    <row r="169" customFormat="false" ht="23.85" hidden="false" customHeight="false" outlineLevel="0" collapsed="false">
      <c r="A169" s="11" t="n">
        <v>165</v>
      </c>
      <c r="B169" s="12" t="s">
        <v>1002</v>
      </c>
      <c r="C169" s="13"/>
      <c r="D169" s="14" t="s">
        <v>985</v>
      </c>
      <c r="E169" s="11" t="s">
        <v>112</v>
      </c>
      <c r="F169" s="13" t="s">
        <v>1003</v>
      </c>
      <c r="G169" s="11"/>
      <c r="H169" s="11"/>
      <c r="I169" s="11" t="s">
        <v>86</v>
      </c>
      <c r="J169" s="11"/>
      <c r="K169" s="11"/>
      <c r="L169" s="13" t="s">
        <v>488</v>
      </c>
      <c r="M169" s="13" t="s">
        <v>1004</v>
      </c>
      <c r="N169" s="13" t="s">
        <v>1005</v>
      </c>
      <c r="O169" s="11" t="s">
        <v>152</v>
      </c>
      <c r="P169" s="11" t="s">
        <v>92</v>
      </c>
      <c r="Q169" s="13" t="s">
        <v>1006</v>
      </c>
      <c r="R169" s="15" t="s">
        <v>234</v>
      </c>
      <c r="S169" s="13" t="s">
        <v>1007</v>
      </c>
      <c r="T169" s="16" t="s">
        <v>95</v>
      </c>
      <c r="U169" s="16"/>
    </row>
    <row r="170" customFormat="false" ht="23.85" hidden="false" customHeight="false" outlineLevel="0" collapsed="false">
      <c r="A170" s="11" t="n">
        <v>166</v>
      </c>
      <c r="B170" s="12" t="s">
        <v>1008</v>
      </c>
      <c r="C170" s="13"/>
      <c r="D170" s="14" t="s">
        <v>985</v>
      </c>
      <c r="E170" s="11" t="s">
        <v>112</v>
      </c>
      <c r="F170" s="13" t="s">
        <v>1009</v>
      </c>
      <c r="G170" s="11"/>
      <c r="H170" s="11"/>
      <c r="I170" s="11" t="s">
        <v>86</v>
      </c>
      <c r="J170" s="11"/>
      <c r="K170" s="11"/>
      <c r="L170" s="13" t="s">
        <v>273</v>
      </c>
      <c r="M170" s="13" t="s">
        <v>1010</v>
      </c>
      <c r="N170" s="13" t="s">
        <v>1011</v>
      </c>
      <c r="O170" s="11" t="s">
        <v>186</v>
      </c>
      <c r="P170" s="11" t="s">
        <v>132</v>
      </c>
      <c r="Q170" s="13" t="s">
        <v>1012</v>
      </c>
      <c r="R170" s="15" t="s">
        <v>94</v>
      </c>
      <c r="S170" s="13"/>
      <c r="T170" s="16" t="s">
        <v>95</v>
      </c>
      <c r="U170" s="16"/>
    </row>
    <row r="171" customFormat="false" ht="15" hidden="false" customHeight="false" outlineLevel="0" collapsed="false">
      <c r="A171" s="11" t="n">
        <v>167</v>
      </c>
      <c r="B171" s="12" t="s">
        <v>1013</v>
      </c>
      <c r="C171" s="13"/>
      <c r="D171" s="14" t="s">
        <v>985</v>
      </c>
      <c r="E171" s="11" t="s">
        <v>112</v>
      </c>
      <c r="F171" s="13" t="s">
        <v>1014</v>
      </c>
      <c r="G171" s="11"/>
      <c r="H171" s="11"/>
      <c r="I171" s="11" t="s">
        <v>86</v>
      </c>
      <c r="J171" s="11"/>
      <c r="K171" s="11" t="s">
        <v>86</v>
      </c>
      <c r="L171" s="13" t="s">
        <v>286</v>
      </c>
      <c r="M171" s="13" t="s">
        <v>946</v>
      </c>
      <c r="N171" s="13" t="s">
        <v>1015</v>
      </c>
      <c r="O171" s="11" t="s">
        <v>186</v>
      </c>
      <c r="P171" s="11" t="s">
        <v>92</v>
      </c>
      <c r="Q171" s="13" t="s">
        <v>187</v>
      </c>
      <c r="R171" s="15" t="s">
        <v>94</v>
      </c>
      <c r="S171" s="13"/>
      <c r="T171" s="16" t="s">
        <v>95</v>
      </c>
      <c r="U171" s="16"/>
    </row>
    <row r="172" customFormat="false" ht="46.25" hidden="false" customHeight="false" outlineLevel="0" collapsed="false">
      <c r="A172" s="11" t="n">
        <v>168</v>
      </c>
      <c r="B172" s="12" t="s">
        <v>1016</v>
      </c>
      <c r="C172" s="13"/>
      <c r="D172" s="14" t="s">
        <v>1017</v>
      </c>
      <c r="E172" s="11" t="s">
        <v>112</v>
      </c>
      <c r="F172" s="13" t="s">
        <v>1018</v>
      </c>
      <c r="G172" s="11"/>
      <c r="H172" s="11" t="s">
        <v>86</v>
      </c>
      <c r="I172" s="11"/>
      <c r="J172" s="11" t="s">
        <v>86</v>
      </c>
      <c r="K172" s="11"/>
      <c r="L172" s="13"/>
      <c r="M172" s="13" t="s">
        <v>1019</v>
      </c>
      <c r="N172" s="13" t="s">
        <v>1020</v>
      </c>
      <c r="O172" s="11" t="s">
        <v>91</v>
      </c>
      <c r="P172" s="11" t="s">
        <v>92</v>
      </c>
      <c r="Q172" s="13" t="s">
        <v>1021</v>
      </c>
      <c r="R172" s="11" t="s">
        <v>268</v>
      </c>
      <c r="S172" s="13"/>
      <c r="T172" s="16" t="s">
        <v>95</v>
      </c>
      <c r="U172" s="16"/>
    </row>
    <row r="173" customFormat="false" ht="35.05" hidden="false" customHeight="false" outlineLevel="0" collapsed="false">
      <c r="A173" s="11" t="n">
        <v>169</v>
      </c>
      <c r="B173" s="12" t="s">
        <v>1022</v>
      </c>
      <c r="C173" s="13"/>
      <c r="D173" s="14" t="s">
        <v>1017</v>
      </c>
      <c r="E173" s="11" t="s">
        <v>112</v>
      </c>
      <c r="F173" s="13" t="s">
        <v>1018</v>
      </c>
      <c r="G173" s="11"/>
      <c r="H173" s="11" t="s">
        <v>86</v>
      </c>
      <c r="I173" s="11"/>
      <c r="J173" s="11"/>
      <c r="K173" s="11"/>
      <c r="L173" s="13"/>
      <c r="M173" s="13" t="s">
        <v>1023</v>
      </c>
      <c r="N173" s="13" t="s">
        <v>1024</v>
      </c>
      <c r="O173" s="11" t="s">
        <v>91</v>
      </c>
      <c r="P173" s="11" t="s">
        <v>132</v>
      </c>
      <c r="Q173" s="13" t="s">
        <v>276</v>
      </c>
      <c r="R173" s="11" t="s">
        <v>268</v>
      </c>
      <c r="S173" s="13"/>
      <c r="T173" s="16" t="s">
        <v>95</v>
      </c>
      <c r="U173" s="16"/>
    </row>
    <row r="174" customFormat="false" ht="23.85" hidden="false" customHeight="false" outlineLevel="0" collapsed="false">
      <c r="A174" s="11" t="n">
        <v>170</v>
      </c>
      <c r="B174" s="12" t="s">
        <v>1025</v>
      </c>
      <c r="C174" s="13"/>
      <c r="D174" s="14" t="s">
        <v>1017</v>
      </c>
      <c r="E174" s="11" t="s">
        <v>112</v>
      </c>
      <c r="F174" s="13" t="s">
        <v>1018</v>
      </c>
      <c r="G174" s="11"/>
      <c r="H174" s="11" t="s">
        <v>86</v>
      </c>
      <c r="I174" s="11"/>
      <c r="J174" s="11"/>
      <c r="K174" s="11"/>
      <c r="L174" s="13"/>
      <c r="M174" s="13" t="s">
        <v>1026</v>
      </c>
      <c r="N174" s="13" t="s">
        <v>1027</v>
      </c>
      <c r="O174" s="11" t="s">
        <v>152</v>
      </c>
      <c r="P174" s="11" t="s">
        <v>132</v>
      </c>
      <c r="Q174" s="13" t="s">
        <v>276</v>
      </c>
      <c r="R174" s="11" t="s">
        <v>268</v>
      </c>
      <c r="S174" s="13"/>
      <c r="T174" s="16" t="s">
        <v>95</v>
      </c>
      <c r="U174" s="16"/>
    </row>
    <row r="175" customFormat="false" ht="23.85" hidden="false" customHeight="false" outlineLevel="0" collapsed="false">
      <c r="A175" s="11" t="n">
        <v>171</v>
      </c>
      <c r="B175" s="12" t="s">
        <v>1028</v>
      </c>
      <c r="C175" s="13"/>
      <c r="D175" s="14" t="s">
        <v>1017</v>
      </c>
      <c r="E175" s="11" t="s">
        <v>112</v>
      </c>
      <c r="F175" s="13" t="s">
        <v>1018</v>
      </c>
      <c r="G175" s="11"/>
      <c r="H175" s="11" t="s">
        <v>86</v>
      </c>
      <c r="I175" s="11"/>
      <c r="J175" s="11"/>
      <c r="K175" s="11"/>
      <c r="L175" s="13"/>
      <c r="M175" s="13" t="s">
        <v>1029</v>
      </c>
      <c r="N175" s="13" t="s">
        <v>1030</v>
      </c>
      <c r="O175" s="11" t="s">
        <v>152</v>
      </c>
      <c r="P175" s="11" t="s">
        <v>132</v>
      </c>
      <c r="Q175" s="13" t="s">
        <v>276</v>
      </c>
      <c r="R175" s="11" t="s">
        <v>268</v>
      </c>
      <c r="S175" s="13"/>
      <c r="T175" s="16" t="s">
        <v>95</v>
      </c>
      <c r="U175" s="16"/>
    </row>
    <row r="176" customFormat="false" ht="23.85" hidden="false" customHeight="false" outlineLevel="0" collapsed="false">
      <c r="A176" s="11" t="n">
        <v>172</v>
      </c>
      <c r="B176" s="12" t="s">
        <v>1031</v>
      </c>
      <c r="C176" s="13"/>
      <c r="D176" s="14" t="s">
        <v>1017</v>
      </c>
      <c r="E176" s="11" t="s">
        <v>112</v>
      </c>
      <c r="F176" s="13" t="s">
        <v>1018</v>
      </c>
      <c r="G176" s="11"/>
      <c r="H176" s="11" t="s">
        <v>86</v>
      </c>
      <c r="I176" s="11"/>
      <c r="J176" s="11"/>
      <c r="K176" s="11"/>
      <c r="L176" s="13"/>
      <c r="M176" s="13" t="s">
        <v>1032</v>
      </c>
      <c r="N176" s="13" t="s">
        <v>1033</v>
      </c>
      <c r="O176" s="11" t="s">
        <v>152</v>
      </c>
      <c r="P176" s="11" t="s">
        <v>132</v>
      </c>
      <c r="Q176" s="13" t="s">
        <v>276</v>
      </c>
      <c r="R176" s="11" t="s">
        <v>268</v>
      </c>
      <c r="S176" s="13"/>
      <c r="T176" s="16" t="s">
        <v>95</v>
      </c>
      <c r="U176" s="16"/>
    </row>
    <row r="177" customFormat="false" ht="35.05" hidden="false" customHeight="false" outlineLevel="0" collapsed="false">
      <c r="A177" s="11" t="n">
        <v>173</v>
      </c>
      <c r="B177" s="12" t="s">
        <v>1034</v>
      </c>
      <c r="C177" s="13"/>
      <c r="D177" s="14" t="s">
        <v>1017</v>
      </c>
      <c r="E177" s="11" t="s">
        <v>112</v>
      </c>
      <c r="F177" s="13" t="s">
        <v>1035</v>
      </c>
      <c r="G177" s="11"/>
      <c r="H177" s="11" t="s">
        <v>86</v>
      </c>
      <c r="I177" s="11" t="s">
        <v>86</v>
      </c>
      <c r="J177" s="11" t="s">
        <v>86</v>
      </c>
      <c r="K177" s="11"/>
      <c r="L177" s="13" t="s">
        <v>1036</v>
      </c>
      <c r="M177" s="13" t="s">
        <v>1037</v>
      </c>
      <c r="N177" s="13" t="s">
        <v>1038</v>
      </c>
      <c r="O177" s="11" t="s">
        <v>152</v>
      </c>
      <c r="P177" s="11" t="s">
        <v>92</v>
      </c>
      <c r="Q177" s="13" t="s">
        <v>1039</v>
      </c>
      <c r="R177" s="15" t="s">
        <v>94</v>
      </c>
      <c r="S177" s="13"/>
      <c r="T177" s="16" t="s">
        <v>95</v>
      </c>
      <c r="U177" s="16"/>
    </row>
    <row r="178" customFormat="false" ht="23.85" hidden="false" customHeight="false" outlineLevel="0" collapsed="false">
      <c r="A178" s="11" t="n">
        <v>174</v>
      </c>
      <c r="B178" s="12" t="s">
        <v>1040</v>
      </c>
      <c r="C178" s="13"/>
      <c r="D178" s="14" t="s">
        <v>1017</v>
      </c>
      <c r="E178" s="11" t="s">
        <v>112</v>
      </c>
      <c r="F178" s="13" t="s">
        <v>1041</v>
      </c>
      <c r="G178" s="11" t="s">
        <v>86</v>
      </c>
      <c r="H178" s="11" t="s">
        <v>86</v>
      </c>
      <c r="I178" s="11"/>
      <c r="J178" s="11"/>
      <c r="K178" s="11" t="s">
        <v>86</v>
      </c>
      <c r="L178" s="13" t="s">
        <v>488</v>
      </c>
      <c r="M178" s="13" t="s">
        <v>1042</v>
      </c>
      <c r="N178" s="13" t="s">
        <v>1043</v>
      </c>
      <c r="O178" s="11" t="s">
        <v>152</v>
      </c>
      <c r="P178" s="11" t="s">
        <v>92</v>
      </c>
      <c r="Q178" s="13" t="s">
        <v>1044</v>
      </c>
      <c r="R178" s="15" t="s">
        <v>94</v>
      </c>
      <c r="S178" s="13"/>
      <c r="T178" s="16" t="s">
        <v>95</v>
      </c>
      <c r="U178" s="16"/>
    </row>
    <row r="179" customFormat="false" ht="35.05" hidden="false" customHeight="false" outlineLevel="0" collapsed="false">
      <c r="A179" s="11" t="n">
        <v>175</v>
      </c>
      <c r="B179" s="12" t="s">
        <v>1045</v>
      </c>
      <c r="C179" s="17" t="s">
        <v>1046</v>
      </c>
      <c r="D179" s="14" t="s">
        <v>1017</v>
      </c>
      <c r="E179" s="11" t="s">
        <v>197</v>
      </c>
      <c r="F179" s="13" t="s">
        <v>1047</v>
      </c>
      <c r="G179" s="11" t="s">
        <v>86</v>
      </c>
      <c r="H179" s="11"/>
      <c r="I179" s="11"/>
      <c r="J179" s="11" t="s">
        <v>86</v>
      </c>
      <c r="K179" s="11" t="s">
        <v>86</v>
      </c>
      <c r="L179" s="13" t="s">
        <v>286</v>
      </c>
      <c r="M179" s="13" t="s">
        <v>1048</v>
      </c>
      <c r="N179" s="13" t="s">
        <v>1049</v>
      </c>
      <c r="O179" s="11" t="s">
        <v>152</v>
      </c>
      <c r="P179" s="11" t="s">
        <v>132</v>
      </c>
      <c r="Q179" s="13" t="s">
        <v>1050</v>
      </c>
      <c r="R179" s="15" t="s">
        <v>234</v>
      </c>
      <c r="S179" s="13" t="s">
        <v>1051</v>
      </c>
      <c r="T179" s="16" t="s">
        <v>95</v>
      </c>
      <c r="U179" s="16"/>
    </row>
    <row r="180" customFormat="false" ht="23.85" hidden="false" customHeight="false" outlineLevel="0" collapsed="false">
      <c r="A180" s="11" t="n">
        <v>176</v>
      </c>
      <c r="B180" s="12" t="s">
        <v>1052</v>
      </c>
      <c r="C180" s="17" t="s">
        <v>1053</v>
      </c>
      <c r="D180" s="14" t="s">
        <v>1017</v>
      </c>
      <c r="E180" s="11" t="s">
        <v>197</v>
      </c>
      <c r="F180" s="13" t="s">
        <v>1054</v>
      </c>
      <c r="G180" s="11" t="s">
        <v>86</v>
      </c>
      <c r="H180" s="11"/>
      <c r="I180" s="11"/>
      <c r="J180" s="11"/>
      <c r="K180" s="11" t="s">
        <v>86</v>
      </c>
      <c r="L180" s="13" t="s">
        <v>286</v>
      </c>
      <c r="M180" s="13" t="s">
        <v>1055</v>
      </c>
      <c r="N180" s="13" t="s">
        <v>1056</v>
      </c>
      <c r="O180" s="11" t="s">
        <v>152</v>
      </c>
      <c r="P180" s="11" t="s">
        <v>132</v>
      </c>
      <c r="Q180" s="13" t="s">
        <v>1057</v>
      </c>
      <c r="R180" s="15" t="s">
        <v>234</v>
      </c>
      <c r="S180" s="13" t="s">
        <v>1051</v>
      </c>
      <c r="T180" s="16" t="s">
        <v>95</v>
      </c>
      <c r="U180" s="16"/>
    </row>
    <row r="181" customFormat="false" ht="23.85" hidden="false" customHeight="false" outlineLevel="0" collapsed="false">
      <c r="A181" s="11" t="n">
        <v>177</v>
      </c>
      <c r="B181" s="12" t="s">
        <v>1058</v>
      </c>
      <c r="C181" s="17" t="s">
        <v>1059</v>
      </c>
      <c r="D181" s="14" t="s">
        <v>1017</v>
      </c>
      <c r="E181" s="11" t="s">
        <v>197</v>
      </c>
      <c r="F181" s="13" t="s">
        <v>1060</v>
      </c>
      <c r="G181" s="11" t="s">
        <v>86</v>
      </c>
      <c r="H181" s="11"/>
      <c r="I181" s="11"/>
      <c r="J181" s="11" t="s">
        <v>87</v>
      </c>
      <c r="K181" s="11" t="s">
        <v>86</v>
      </c>
      <c r="L181" s="13" t="s">
        <v>286</v>
      </c>
      <c r="M181" s="13" t="s">
        <v>1061</v>
      </c>
      <c r="N181" s="13" t="s">
        <v>1062</v>
      </c>
      <c r="O181" s="11" t="s">
        <v>186</v>
      </c>
      <c r="P181" s="11" t="s">
        <v>132</v>
      </c>
      <c r="Q181" s="13" t="s">
        <v>1063</v>
      </c>
      <c r="R181" s="15" t="s">
        <v>234</v>
      </c>
      <c r="S181" s="13" t="s">
        <v>1051</v>
      </c>
      <c r="T181" s="16" t="s">
        <v>95</v>
      </c>
      <c r="U181" s="16"/>
    </row>
    <row r="182" customFormat="false" ht="23.85" hidden="false" customHeight="false" outlineLevel="0" collapsed="false">
      <c r="A182" s="11" t="n">
        <v>178</v>
      </c>
      <c r="B182" s="12" t="s">
        <v>1064</v>
      </c>
      <c r="C182" s="17" t="s">
        <v>1065</v>
      </c>
      <c r="D182" s="14" t="s">
        <v>1017</v>
      </c>
      <c r="E182" s="11" t="s">
        <v>197</v>
      </c>
      <c r="F182" s="13" t="s">
        <v>1066</v>
      </c>
      <c r="G182" s="11" t="s">
        <v>86</v>
      </c>
      <c r="H182" s="11"/>
      <c r="I182" s="11"/>
      <c r="J182" s="11"/>
      <c r="K182" s="11" t="s">
        <v>86</v>
      </c>
      <c r="L182" s="13" t="s">
        <v>286</v>
      </c>
      <c r="M182" s="13" t="s">
        <v>1067</v>
      </c>
      <c r="N182" s="13" t="s">
        <v>663</v>
      </c>
      <c r="O182" s="11" t="s">
        <v>193</v>
      </c>
      <c r="P182" s="11" t="s">
        <v>166</v>
      </c>
      <c r="Q182" s="13" t="s">
        <v>253</v>
      </c>
      <c r="R182" s="15" t="s">
        <v>234</v>
      </c>
      <c r="S182" s="13" t="s">
        <v>1051</v>
      </c>
      <c r="T182" s="16" t="s">
        <v>95</v>
      </c>
      <c r="U182" s="16"/>
    </row>
    <row r="183" customFormat="false" ht="23.85" hidden="false" customHeight="false" outlineLevel="0" collapsed="false">
      <c r="A183" s="11" t="n">
        <v>179</v>
      </c>
      <c r="B183" s="12" t="s">
        <v>1068</v>
      </c>
      <c r="C183" s="17" t="s">
        <v>1069</v>
      </c>
      <c r="D183" s="14" t="s">
        <v>1017</v>
      </c>
      <c r="E183" s="11" t="s">
        <v>197</v>
      </c>
      <c r="F183" s="13" t="s">
        <v>1070</v>
      </c>
      <c r="G183" s="11" t="s">
        <v>86</v>
      </c>
      <c r="H183" s="11"/>
      <c r="I183" s="11"/>
      <c r="J183" s="11"/>
      <c r="K183" s="11" t="s">
        <v>86</v>
      </c>
      <c r="L183" s="13" t="s">
        <v>286</v>
      </c>
      <c r="M183" s="13" t="s">
        <v>1067</v>
      </c>
      <c r="N183" s="13" t="s">
        <v>663</v>
      </c>
      <c r="O183" s="11" t="s">
        <v>193</v>
      </c>
      <c r="P183" s="11" t="s">
        <v>166</v>
      </c>
      <c r="Q183" s="13" t="s">
        <v>1071</v>
      </c>
      <c r="R183" s="15" t="s">
        <v>234</v>
      </c>
      <c r="S183" s="13" t="s">
        <v>1051</v>
      </c>
      <c r="T183" s="16" t="s">
        <v>95</v>
      </c>
      <c r="U183" s="16"/>
    </row>
    <row r="184" customFormat="false" ht="23.85" hidden="false" customHeight="false" outlineLevel="0" collapsed="false">
      <c r="A184" s="11" t="n">
        <v>180</v>
      </c>
      <c r="B184" s="12" t="s">
        <v>1072</v>
      </c>
      <c r="C184" s="17" t="s">
        <v>1073</v>
      </c>
      <c r="D184" s="14" t="s">
        <v>1017</v>
      </c>
      <c r="E184" s="11" t="s">
        <v>197</v>
      </c>
      <c r="F184" s="13" t="s">
        <v>1074</v>
      </c>
      <c r="G184" s="11" t="s">
        <v>86</v>
      </c>
      <c r="H184" s="11"/>
      <c r="I184" s="11"/>
      <c r="J184" s="11"/>
      <c r="K184" s="11" t="s">
        <v>86</v>
      </c>
      <c r="L184" s="13" t="s">
        <v>286</v>
      </c>
      <c r="M184" s="13" t="s">
        <v>1067</v>
      </c>
      <c r="N184" s="13" t="s">
        <v>202</v>
      </c>
      <c r="O184" s="11" t="s">
        <v>202</v>
      </c>
      <c r="P184" s="11" t="s">
        <v>166</v>
      </c>
      <c r="Q184" s="13" t="s">
        <v>253</v>
      </c>
      <c r="R184" s="15" t="s">
        <v>234</v>
      </c>
      <c r="S184" s="13" t="s">
        <v>1051</v>
      </c>
      <c r="T184" s="16" t="s">
        <v>95</v>
      </c>
      <c r="U184" s="16"/>
    </row>
    <row r="185" customFormat="false" ht="57.45" hidden="false" customHeight="false" outlineLevel="0" collapsed="false">
      <c r="A185" s="11" t="n">
        <v>181</v>
      </c>
      <c r="B185" s="12" t="s">
        <v>1075</v>
      </c>
      <c r="C185" s="13"/>
      <c r="D185" s="14" t="s">
        <v>1076</v>
      </c>
      <c r="E185" s="11" t="s">
        <v>112</v>
      </c>
      <c r="F185" s="13" t="s">
        <v>1077</v>
      </c>
      <c r="G185" s="11"/>
      <c r="H185" s="11" t="s">
        <v>86</v>
      </c>
      <c r="I185" s="11"/>
      <c r="J185" s="11" t="s">
        <v>86</v>
      </c>
      <c r="K185" s="11"/>
      <c r="L185" s="13"/>
      <c r="M185" s="13" t="s">
        <v>1078</v>
      </c>
      <c r="N185" s="13" t="s">
        <v>1079</v>
      </c>
      <c r="O185" s="11" t="s">
        <v>91</v>
      </c>
      <c r="P185" s="11" t="s">
        <v>92</v>
      </c>
      <c r="Q185" s="13" t="s">
        <v>1080</v>
      </c>
      <c r="R185" s="11" t="s">
        <v>268</v>
      </c>
      <c r="S185" s="13" t="s">
        <v>451</v>
      </c>
      <c r="T185" s="16" t="s">
        <v>95</v>
      </c>
      <c r="U185" s="16"/>
    </row>
    <row r="186" customFormat="false" ht="46.25" hidden="false" customHeight="false" outlineLevel="0" collapsed="false">
      <c r="A186" s="11" t="n">
        <v>182</v>
      </c>
      <c r="B186" s="12" t="s">
        <v>1081</v>
      </c>
      <c r="C186" s="13"/>
      <c r="D186" s="14" t="s">
        <v>1076</v>
      </c>
      <c r="E186" s="11" t="s">
        <v>112</v>
      </c>
      <c r="F186" s="13" t="s">
        <v>1077</v>
      </c>
      <c r="G186" s="11"/>
      <c r="H186" s="11" t="s">
        <v>86</v>
      </c>
      <c r="I186" s="11"/>
      <c r="J186" s="11" t="s">
        <v>86</v>
      </c>
      <c r="K186" s="11"/>
      <c r="L186" s="13"/>
      <c r="M186" s="13" t="s">
        <v>1082</v>
      </c>
      <c r="N186" s="13" t="s">
        <v>1083</v>
      </c>
      <c r="O186" s="11" t="s">
        <v>91</v>
      </c>
      <c r="P186" s="11" t="s">
        <v>92</v>
      </c>
      <c r="Q186" s="13" t="s">
        <v>1084</v>
      </c>
      <c r="R186" s="11" t="s">
        <v>268</v>
      </c>
      <c r="S186" s="13" t="s">
        <v>451</v>
      </c>
      <c r="T186" s="16" t="s">
        <v>95</v>
      </c>
      <c r="U186" s="16"/>
    </row>
    <row r="187" customFormat="false" ht="46.25" hidden="false" customHeight="false" outlineLevel="0" collapsed="false">
      <c r="A187" s="11" t="n">
        <v>183</v>
      </c>
      <c r="B187" s="12" t="s">
        <v>1085</v>
      </c>
      <c r="C187" s="13"/>
      <c r="D187" s="14" t="s">
        <v>1076</v>
      </c>
      <c r="E187" s="11" t="s">
        <v>112</v>
      </c>
      <c r="F187" s="13" t="s">
        <v>1086</v>
      </c>
      <c r="G187" s="11"/>
      <c r="H187" s="11" t="s">
        <v>86</v>
      </c>
      <c r="I187" s="11"/>
      <c r="J187" s="11" t="s">
        <v>87</v>
      </c>
      <c r="K187" s="11"/>
      <c r="L187" s="13"/>
      <c r="M187" s="13" t="s">
        <v>1087</v>
      </c>
      <c r="N187" s="13" t="s">
        <v>1088</v>
      </c>
      <c r="O187" s="11" t="s">
        <v>91</v>
      </c>
      <c r="P187" s="11" t="s">
        <v>92</v>
      </c>
      <c r="Q187" s="13" t="s">
        <v>1089</v>
      </c>
      <c r="R187" s="11" t="s">
        <v>268</v>
      </c>
      <c r="S187" s="13" t="s">
        <v>451</v>
      </c>
      <c r="T187" s="16" t="s">
        <v>95</v>
      </c>
      <c r="U187" s="16"/>
    </row>
    <row r="188" customFormat="false" ht="46.25" hidden="false" customHeight="false" outlineLevel="0" collapsed="false">
      <c r="A188" s="11" t="n">
        <v>184</v>
      </c>
      <c r="B188" s="12" t="s">
        <v>1090</v>
      </c>
      <c r="C188" s="13"/>
      <c r="D188" s="14" t="s">
        <v>1076</v>
      </c>
      <c r="E188" s="11" t="s">
        <v>112</v>
      </c>
      <c r="F188" s="13" t="s">
        <v>1077</v>
      </c>
      <c r="G188" s="11" t="s">
        <v>86</v>
      </c>
      <c r="H188" s="11" t="s">
        <v>86</v>
      </c>
      <c r="I188" s="11"/>
      <c r="J188" s="11" t="s">
        <v>87</v>
      </c>
      <c r="K188" s="11"/>
      <c r="L188" s="13"/>
      <c r="M188" s="13" t="s">
        <v>1091</v>
      </c>
      <c r="N188" s="13" t="s">
        <v>1092</v>
      </c>
      <c r="O188" s="11" t="s">
        <v>152</v>
      </c>
      <c r="P188" s="11" t="s">
        <v>92</v>
      </c>
      <c r="Q188" s="13" t="s">
        <v>1093</v>
      </c>
      <c r="R188" s="11" t="s">
        <v>268</v>
      </c>
      <c r="S188" s="13" t="s">
        <v>451</v>
      </c>
      <c r="T188" s="16" t="s">
        <v>95</v>
      </c>
      <c r="U188" s="16"/>
    </row>
    <row r="189" customFormat="false" ht="35.05" hidden="false" customHeight="false" outlineLevel="0" collapsed="false">
      <c r="A189" s="11" t="n">
        <v>185</v>
      </c>
      <c r="B189" s="12" t="s">
        <v>1094</v>
      </c>
      <c r="C189" s="13"/>
      <c r="D189" s="14" t="s">
        <v>1076</v>
      </c>
      <c r="E189" s="11" t="s">
        <v>298</v>
      </c>
      <c r="F189" s="13" t="s">
        <v>1095</v>
      </c>
      <c r="G189" s="11"/>
      <c r="H189" s="11" t="s">
        <v>86</v>
      </c>
      <c r="I189" s="11"/>
      <c r="J189" s="11" t="s">
        <v>86</v>
      </c>
      <c r="K189" s="11"/>
      <c r="L189" s="13"/>
      <c r="M189" s="13" t="s">
        <v>1096</v>
      </c>
      <c r="N189" s="13" t="s">
        <v>1097</v>
      </c>
      <c r="O189" s="11" t="s">
        <v>152</v>
      </c>
      <c r="P189" s="11" t="s">
        <v>92</v>
      </c>
      <c r="Q189" s="13" t="s">
        <v>1098</v>
      </c>
      <c r="R189" s="11" t="s">
        <v>268</v>
      </c>
      <c r="S189" s="13" t="s">
        <v>451</v>
      </c>
      <c r="T189" s="16" t="s">
        <v>95</v>
      </c>
      <c r="U189" s="16"/>
    </row>
    <row r="190" customFormat="false" ht="23.85" hidden="false" customHeight="false" outlineLevel="0" collapsed="false">
      <c r="A190" s="11" t="n">
        <v>186</v>
      </c>
      <c r="B190" s="12" t="s">
        <v>1099</v>
      </c>
      <c r="C190" s="13"/>
      <c r="D190" s="14" t="s">
        <v>1076</v>
      </c>
      <c r="E190" s="11" t="s">
        <v>298</v>
      </c>
      <c r="F190" s="13" t="s">
        <v>1100</v>
      </c>
      <c r="G190" s="11"/>
      <c r="H190" s="11" t="s">
        <v>86</v>
      </c>
      <c r="I190" s="11"/>
      <c r="J190" s="11" t="s">
        <v>87</v>
      </c>
      <c r="K190" s="11"/>
      <c r="L190" s="13"/>
      <c r="M190" s="13" t="s">
        <v>1101</v>
      </c>
      <c r="N190" s="13" t="s">
        <v>1102</v>
      </c>
      <c r="O190" s="11" t="s">
        <v>152</v>
      </c>
      <c r="P190" s="11" t="s">
        <v>92</v>
      </c>
      <c r="Q190" s="13" t="s">
        <v>1103</v>
      </c>
      <c r="R190" s="11" t="s">
        <v>268</v>
      </c>
      <c r="S190" s="13" t="s">
        <v>451</v>
      </c>
      <c r="T190" s="16" t="s">
        <v>95</v>
      </c>
      <c r="U190" s="16"/>
    </row>
    <row r="191" customFormat="false" ht="35.05" hidden="false" customHeight="false" outlineLevel="0" collapsed="false">
      <c r="A191" s="11" t="n">
        <v>187</v>
      </c>
      <c r="B191" s="12" t="s">
        <v>1104</v>
      </c>
      <c r="C191" s="13"/>
      <c r="D191" s="14" t="s">
        <v>1076</v>
      </c>
      <c r="E191" s="11" t="s">
        <v>104</v>
      </c>
      <c r="F191" s="13" t="s">
        <v>1105</v>
      </c>
      <c r="G191" s="11"/>
      <c r="H191" s="11" t="s">
        <v>86</v>
      </c>
      <c r="I191" s="11"/>
      <c r="J191" s="11" t="s">
        <v>87</v>
      </c>
      <c r="K191" s="11"/>
      <c r="L191" s="13"/>
      <c r="M191" s="13" t="s">
        <v>1106</v>
      </c>
      <c r="N191" s="13" t="s">
        <v>1107</v>
      </c>
      <c r="O191" s="11" t="s">
        <v>152</v>
      </c>
      <c r="P191" s="11" t="s">
        <v>132</v>
      </c>
      <c r="Q191" s="13" t="s">
        <v>1108</v>
      </c>
      <c r="R191" s="11" t="s">
        <v>268</v>
      </c>
      <c r="S191" s="13" t="s">
        <v>451</v>
      </c>
      <c r="T191" s="16" t="s">
        <v>95</v>
      </c>
      <c r="U191" s="16"/>
    </row>
    <row r="192" customFormat="false" ht="23.85" hidden="false" customHeight="false" outlineLevel="0" collapsed="false">
      <c r="A192" s="11" t="n">
        <v>188</v>
      </c>
      <c r="B192" s="12" t="s">
        <v>1109</v>
      </c>
      <c r="C192" s="13"/>
      <c r="D192" s="14" t="s">
        <v>1076</v>
      </c>
      <c r="E192" s="11" t="s">
        <v>298</v>
      </c>
      <c r="F192" s="13" t="s">
        <v>1110</v>
      </c>
      <c r="G192" s="11" t="s">
        <v>86</v>
      </c>
      <c r="H192" s="11" t="s">
        <v>86</v>
      </c>
      <c r="I192" s="11"/>
      <c r="J192" s="11" t="s">
        <v>86</v>
      </c>
      <c r="K192" s="11"/>
      <c r="L192" s="13" t="s">
        <v>273</v>
      </c>
      <c r="M192" s="13" t="s">
        <v>1111</v>
      </c>
      <c r="N192" s="13" t="s">
        <v>1112</v>
      </c>
      <c r="O192" s="11" t="s">
        <v>152</v>
      </c>
      <c r="P192" s="11" t="s">
        <v>132</v>
      </c>
      <c r="Q192" s="13" t="s">
        <v>604</v>
      </c>
      <c r="R192" s="15" t="s">
        <v>94</v>
      </c>
      <c r="S192" s="13" t="s">
        <v>451</v>
      </c>
      <c r="T192" s="16" t="s">
        <v>95</v>
      </c>
      <c r="U192" s="16"/>
    </row>
    <row r="193" customFormat="false" ht="23.85" hidden="false" customHeight="false" outlineLevel="0" collapsed="false">
      <c r="A193" s="11" t="n">
        <v>189</v>
      </c>
      <c r="B193" s="12" t="s">
        <v>1113</v>
      </c>
      <c r="C193" s="13"/>
      <c r="D193" s="14" t="s">
        <v>1076</v>
      </c>
      <c r="E193" s="11" t="s">
        <v>298</v>
      </c>
      <c r="F193" s="13" t="s">
        <v>938</v>
      </c>
      <c r="G193" s="11" t="s">
        <v>86</v>
      </c>
      <c r="H193" s="11" t="s">
        <v>86</v>
      </c>
      <c r="I193" s="11"/>
      <c r="J193" s="11" t="s">
        <v>86</v>
      </c>
      <c r="K193" s="11"/>
      <c r="L193" s="13" t="s">
        <v>273</v>
      </c>
      <c r="M193" s="13" t="s">
        <v>1114</v>
      </c>
      <c r="N193" s="13" t="s">
        <v>1115</v>
      </c>
      <c r="O193" s="11" t="s">
        <v>152</v>
      </c>
      <c r="P193" s="11" t="s">
        <v>132</v>
      </c>
      <c r="Q193" s="13" t="s">
        <v>604</v>
      </c>
      <c r="R193" s="15" t="s">
        <v>94</v>
      </c>
      <c r="S193" s="13"/>
      <c r="T193" s="16" t="s">
        <v>95</v>
      </c>
      <c r="U193" s="16"/>
    </row>
    <row r="194" customFormat="false" ht="35.05" hidden="false" customHeight="false" outlineLevel="0" collapsed="false">
      <c r="A194" s="11" t="n">
        <v>190</v>
      </c>
      <c r="B194" s="12" t="s">
        <v>1116</v>
      </c>
      <c r="C194" s="13"/>
      <c r="D194" s="14" t="s">
        <v>1076</v>
      </c>
      <c r="E194" s="11" t="s">
        <v>112</v>
      </c>
      <c r="F194" s="13" t="s">
        <v>1117</v>
      </c>
      <c r="G194" s="11" t="s">
        <v>86</v>
      </c>
      <c r="H194" s="11" t="s">
        <v>86</v>
      </c>
      <c r="I194" s="11"/>
      <c r="J194" s="11" t="s">
        <v>86</v>
      </c>
      <c r="K194" s="11"/>
      <c r="L194" s="13" t="s">
        <v>273</v>
      </c>
      <c r="M194" s="13" t="s">
        <v>1118</v>
      </c>
      <c r="N194" s="13" t="s">
        <v>1119</v>
      </c>
      <c r="O194" s="11" t="s">
        <v>152</v>
      </c>
      <c r="P194" s="11" t="s">
        <v>92</v>
      </c>
      <c r="Q194" s="13" t="s">
        <v>1120</v>
      </c>
      <c r="R194" s="15" t="s">
        <v>234</v>
      </c>
      <c r="S194" s="13" t="s">
        <v>1121</v>
      </c>
      <c r="T194" s="16" t="s">
        <v>95</v>
      </c>
      <c r="U194" s="16"/>
    </row>
    <row r="195" customFormat="false" ht="35.05" hidden="false" customHeight="false" outlineLevel="0" collapsed="false">
      <c r="A195" s="11" t="n">
        <v>191</v>
      </c>
      <c r="B195" s="12" t="s">
        <v>1122</v>
      </c>
      <c r="C195" s="13"/>
      <c r="D195" s="14" t="s">
        <v>1076</v>
      </c>
      <c r="E195" s="11" t="s">
        <v>112</v>
      </c>
      <c r="F195" s="13" t="s">
        <v>1117</v>
      </c>
      <c r="G195" s="11" t="s">
        <v>86</v>
      </c>
      <c r="H195" s="11" t="s">
        <v>86</v>
      </c>
      <c r="I195" s="11"/>
      <c r="J195" s="11" t="s">
        <v>86</v>
      </c>
      <c r="K195" s="11"/>
      <c r="L195" s="13" t="s">
        <v>273</v>
      </c>
      <c r="M195" s="13" t="s">
        <v>1123</v>
      </c>
      <c r="N195" s="13" t="s">
        <v>1119</v>
      </c>
      <c r="O195" s="11" t="s">
        <v>152</v>
      </c>
      <c r="P195" s="11" t="s">
        <v>92</v>
      </c>
      <c r="Q195" s="13" t="s">
        <v>1120</v>
      </c>
      <c r="R195" s="15" t="s">
        <v>234</v>
      </c>
      <c r="S195" s="13" t="s">
        <v>1121</v>
      </c>
      <c r="T195" s="16" t="s">
        <v>95</v>
      </c>
      <c r="U195" s="16"/>
    </row>
    <row r="196" customFormat="false" ht="35.05" hidden="false" customHeight="false" outlineLevel="0" collapsed="false">
      <c r="A196" s="11" t="n">
        <v>192</v>
      </c>
      <c r="B196" s="12" t="s">
        <v>1124</v>
      </c>
      <c r="C196" s="13"/>
      <c r="D196" s="14" t="s">
        <v>1076</v>
      </c>
      <c r="E196" s="11" t="s">
        <v>112</v>
      </c>
      <c r="F196" s="13" t="s">
        <v>1125</v>
      </c>
      <c r="G196" s="11"/>
      <c r="H196" s="11" t="s">
        <v>86</v>
      </c>
      <c r="I196" s="11"/>
      <c r="J196" s="11" t="s">
        <v>86</v>
      </c>
      <c r="K196" s="11"/>
      <c r="L196" s="13" t="s">
        <v>286</v>
      </c>
      <c r="M196" s="13" t="s">
        <v>1126</v>
      </c>
      <c r="N196" s="13" t="s">
        <v>1127</v>
      </c>
      <c r="O196" s="11" t="s">
        <v>152</v>
      </c>
      <c r="P196" s="11" t="s">
        <v>92</v>
      </c>
      <c r="Q196" s="13" t="s">
        <v>1120</v>
      </c>
      <c r="R196" s="15" t="s">
        <v>234</v>
      </c>
      <c r="S196" s="13" t="s">
        <v>1121</v>
      </c>
      <c r="T196" s="16" t="s">
        <v>95</v>
      </c>
      <c r="U196" s="16"/>
    </row>
    <row r="197" customFormat="false" ht="35.05" hidden="false" customHeight="false" outlineLevel="0" collapsed="false">
      <c r="A197" s="11" t="n">
        <v>193</v>
      </c>
      <c r="B197" s="12" t="s">
        <v>1128</v>
      </c>
      <c r="C197" s="13"/>
      <c r="D197" s="14" t="s">
        <v>1076</v>
      </c>
      <c r="E197" s="11" t="s">
        <v>112</v>
      </c>
      <c r="F197" s="13" t="s">
        <v>1125</v>
      </c>
      <c r="G197" s="11"/>
      <c r="H197" s="11" t="s">
        <v>86</v>
      </c>
      <c r="I197" s="11"/>
      <c r="J197" s="11" t="s">
        <v>86</v>
      </c>
      <c r="K197" s="11"/>
      <c r="L197" s="13" t="s">
        <v>286</v>
      </c>
      <c r="M197" s="13" t="s">
        <v>1123</v>
      </c>
      <c r="N197" s="13" t="s">
        <v>67</v>
      </c>
      <c r="O197" s="11" t="s">
        <v>152</v>
      </c>
      <c r="P197" s="11" t="s">
        <v>92</v>
      </c>
      <c r="Q197" s="13" t="s">
        <v>1120</v>
      </c>
      <c r="R197" s="15" t="s">
        <v>234</v>
      </c>
      <c r="S197" s="13" t="s">
        <v>1121</v>
      </c>
      <c r="T197" s="16" t="s">
        <v>95</v>
      </c>
      <c r="U197" s="16"/>
    </row>
    <row r="198" customFormat="false" ht="35.05" hidden="false" customHeight="false" outlineLevel="0" collapsed="false">
      <c r="A198" s="11" t="n">
        <v>194</v>
      </c>
      <c r="B198" s="12" t="s">
        <v>1129</v>
      </c>
      <c r="C198" s="13"/>
      <c r="D198" s="14" t="s">
        <v>1076</v>
      </c>
      <c r="E198" s="11" t="s">
        <v>112</v>
      </c>
      <c r="F198" s="13" t="s">
        <v>1130</v>
      </c>
      <c r="G198" s="11" t="s">
        <v>86</v>
      </c>
      <c r="H198" s="11" t="s">
        <v>86</v>
      </c>
      <c r="I198" s="11"/>
      <c r="J198" s="11" t="s">
        <v>86</v>
      </c>
      <c r="K198" s="11"/>
      <c r="L198" s="13" t="s">
        <v>286</v>
      </c>
      <c r="M198" s="13" t="s">
        <v>1123</v>
      </c>
      <c r="N198" s="13" t="s">
        <v>1131</v>
      </c>
      <c r="O198" s="11" t="s">
        <v>152</v>
      </c>
      <c r="P198" s="11" t="s">
        <v>92</v>
      </c>
      <c r="Q198" s="13" t="s">
        <v>1120</v>
      </c>
      <c r="R198" s="15" t="s">
        <v>234</v>
      </c>
      <c r="S198" s="13" t="s">
        <v>1121</v>
      </c>
      <c r="T198" s="16" t="s">
        <v>95</v>
      </c>
      <c r="U198" s="16"/>
    </row>
    <row r="199" customFormat="false" ht="35.05" hidden="false" customHeight="false" outlineLevel="0" collapsed="false">
      <c r="A199" s="11" t="n">
        <v>195</v>
      </c>
      <c r="B199" s="12" t="s">
        <v>1132</v>
      </c>
      <c r="C199" s="13"/>
      <c r="D199" s="14" t="s">
        <v>1076</v>
      </c>
      <c r="E199" s="11" t="s">
        <v>298</v>
      </c>
      <c r="F199" s="13" t="s">
        <v>1133</v>
      </c>
      <c r="G199" s="11"/>
      <c r="H199" s="11" t="s">
        <v>86</v>
      </c>
      <c r="I199" s="11"/>
      <c r="J199" s="11" t="s">
        <v>86</v>
      </c>
      <c r="K199" s="11"/>
      <c r="L199" s="13" t="s">
        <v>286</v>
      </c>
      <c r="M199" s="13" t="s">
        <v>1123</v>
      </c>
      <c r="N199" s="13" t="s">
        <v>1134</v>
      </c>
      <c r="O199" s="11" t="s">
        <v>152</v>
      </c>
      <c r="P199" s="11" t="s">
        <v>92</v>
      </c>
      <c r="Q199" s="13" t="s">
        <v>1120</v>
      </c>
      <c r="R199" s="15" t="s">
        <v>234</v>
      </c>
      <c r="S199" s="13" t="s">
        <v>1121</v>
      </c>
      <c r="T199" s="16" t="s">
        <v>95</v>
      </c>
      <c r="U199" s="16"/>
    </row>
    <row r="200" customFormat="false" ht="35.05" hidden="false" customHeight="false" outlineLevel="0" collapsed="false">
      <c r="A200" s="11" t="n">
        <v>196</v>
      </c>
      <c r="B200" s="12" t="s">
        <v>1135</v>
      </c>
      <c r="C200" s="13"/>
      <c r="D200" s="14" t="s">
        <v>1076</v>
      </c>
      <c r="E200" s="11" t="s">
        <v>112</v>
      </c>
      <c r="F200" s="13" t="s">
        <v>1136</v>
      </c>
      <c r="G200" s="11"/>
      <c r="H200" s="11" t="s">
        <v>86</v>
      </c>
      <c r="I200" s="11"/>
      <c r="J200" s="11" t="s">
        <v>86</v>
      </c>
      <c r="K200" s="11"/>
      <c r="L200" s="13" t="s">
        <v>286</v>
      </c>
      <c r="M200" s="13" t="s">
        <v>1123</v>
      </c>
      <c r="N200" s="13" t="s">
        <v>1137</v>
      </c>
      <c r="O200" s="11" t="s">
        <v>152</v>
      </c>
      <c r="P200" s="11" t="s">
        <v>92</v>
      </c>
      <c r="Q200" s="13" t="s">
        <v>1120</v>
      </c>
      <c r="R200" s="15" t="s">
        <v>234</v>
      </c>
      <c r="S200" s="13" t="s">
        <v>1121</v>
      </c>
      <c r="T200" s="16" t="s">
        <v>95</v>
      </c>
      <c r="U200" s="16"/>
    </row>
    <row r="201" customFormat="false" ht="35.05" hidden="false" customHeight="false" outlineLevel="0" collapsed="false">
      <c r="A201" s="11" t="n">
        <v>197</v>
      </c>
      <c r="B201" s="12" t="s">
        <v>1138</v>
      </c>
      <c r="C201" s="13"/>
      <c r="D201" s="14" t="s">
        <v>1076</v>
      </c>
      <c r="E201" s="11" t="s">
        <v>112</v>
      </c>
      <c r="F201" s="13" t="s">
        <v>1139</v>
      </c>
      <c r="G201" s="11" t="s">
        <v>86</v>
      </c>
      <c r="H201" s="11" t="s">
        <v>86</v>
      </c>
      <c r="I201" s="11"/>
      <c r="J201" s="11" t="s">
        <v>86</v>
      </c>
      <c r="K201" s="11"/>
      <c r="L201" s="13" t="s">
        <v>273</v>
      </c>
      <c r="M201" s="13" t="s">
        <v>1140</v>
      </c>
      <c r="N201" s="13" t="s">
        <v>823</v>
      </c>
      <c r="O201" s="11" t="s">
        <v>152</v>
      </c>
      <c r="P201" s="11" t="s">
        <v>92</v>
      </c>
      <c r="Q201" s="13" t="s">
        <v>1141</v>
      </c>
      <c r="R201" s="15" t="s">
        <v>234</v>
      </c>
      <c r="S201" s="13" t="s">
        <v>1121</v>
      </c>
      <c r="T201" s="16" t="s">
        <v>95</v>
      </c>
      <c r="U201" s="16"/>
    </row>
    <row r="202" customFormat="false" ht="35.05" hidden="false" customHeight="false" outlineLevel="0" collapsed="false">
      <c r="A202" s="11" t="n">
        <v>198</v>
      </c>
      <c r="B202" s="12" t="s">
        <v>1142</v>
      </c>
      <c r="C202" s="13"/>
      <c r="D202" s="14" t="s">
        <v>1076</v>
      </c>
      <c r="E202" s="11" t="s">
        <v>112</v>
      </c>
      <c r="F202" s="13" t="s">
        <v>1143</v>
      </c>
      <c r="G202" s="11" t="s">
        <v>86</v>
      </c>
      <c r="H202" s="11" t="s">
        <v>86</v>
      </c>
      <c r="I202" s="11"/>
      <c r="J202" s="11" t="s">
        <v>86</v>
      </c>
      <c r="K202" s="11"/>
      <c r="L202" s="13" t="s">
        <v>286</v>
      </c>
      <c r="M202" s="13" t="s">
        <v>1123</v>
      </c>
      <c r="N202" s="13" t="s">
        <v>67</v>
      </c>
      <c r="O202" s="11" t="s">
        <v>152</v>
      </c>
      <c r="P202" s="11" t="s">
        <v>92</v>
      </c>
      <c r="Q202" s="13" t="s">
        <v>1120</v>
      </c>
      <c r="R202" s="15" t="s">
        <v>234</v>
      </c>
      <c r="S202" s="13" t="s">
        <v>1121</v>
      </c>
      <c r="T202" s="16" t="s">
        <v>95</v>
      </c>
      <c r="U202" s="16"/>
    </row>
    <row r="203" customFormat="false" ht="23.85" hidden="false" customHeight="false" outlineLevel="0" collapsed="false">
      <c r="A203" s="11" t="n">
        <v>199</v>
      </c>
      <c r="B203" s="12" t="s">
        <v>1144</v>
      </c>
      <c r="C203" s="13"/>
      <c r="D203" s="14" t="s">
        <v>1076</v>
      </c>
      <c r="E203" s="11" t="s">
        <v>112</v>
      </c>
      <c r="F203" s="13" t="s">
        <v>1130</v>
      </c>
      <c r="G203" s="11" t="s">
        <v>86</v>
      </c>
      <c r="H203" s="11" t="s">
        <v>86</v>
      </c>
      <c r="I203" s="11"/>
      <c r="J203" s="11" t="s">
        <v>86</v>
      </c>
      <c r="K203" s="11"/>
      <c r="L203" s="13" t="s">
        <v>286</v>
      </c>
      <c r="M203" s="13" t="s">
        <v>1145</v>
      </c>
      <c r="N203" s="13" t="s">
        <v>1131</v>
      </c>
      <c r="O203" s="11" t="s">
        <v>186</v>
      </c>
      <c r="P203" s="11" t="s">
        <v>132</v>
      </c>
      <c r="Q203" s="13" t="s">
        <v>604</v>
      </c>
      <c r="R203" s="15" t="s">
        <v>234</v>
      </c>
      <c r="S203" s="13" t="s">
        <v>1146</v>
      </c>
      <c r="T203" s="16" t="s">
        <v>95</v>
      </c>
      <c r="U203" s="16"/>
    </row>
    <row r="204" customFormat="false" ht="23.85" hidden="false" customHeight="false" outlineLevel="0" collapsed="false">
      <c r="A204" s="11" t="n">
        <v>200</v>
      </c>
      <c r="B204" s="12" t="s">
        <v>1147</v>
      </c>
      <c r="C204" s="13"/>
      <c r="D204" s="14" t="s">
        <v>1076</v>
      </c>
      <c r="E204" s="11" t="s">
        <v>112</v>
      </c>
      <c r="F204" s="13" t="s">
        <v>1148</v>
      </c>
      <c r="G204" s="11"/>
      <c r="H204" s="11" t="s">
        <v>86</v>
      </c>
      <c r="I204" s="11"/>
      <c r="J204" s="11" t="s">
        <v>86</v>
      </c>
      <c r="K204" s="11"/>
      <c r="L204" s="13" t="s">
        <v>286</v>
      </c>
      <c r="M204" s="13" t="s">
        <v>845</v>
      </c>
      <c r="N204" s="13" t="s">
        <v>67</v>
      </c>
      <c r="O204" s="11" t="s">
        <v>186</v>
      </c>
      <c r="P204" s="11" t="s">
        <v>132</v>
      </c>
      <c r="Q204" s="13" t="s">
        <v>1149</v>
      </c>
      <c r="R204" s="15" t="s">
        <v>234</v>
      </c>
      <c r="S204" s="13" t="s">
        <v>1150</v>
      </c>
      <c r="T204" s="16" t="s">
        <v>95</v>
      </c>
      <c r="U204" s="16"/>
    </row>
    <row r="205" customFormat="false" ht="35.05" hidden="false" customHeight="false" outlineLevel="0" collapsed="false">
      <c r="A205" s="11" t="n">
        <v>201</v>
      </c>
      <c r="B205" s="12" t="s">
        <v>1151</v>
      </c>
      <c r="C205" s="13"/>
      <c r="D205" s="14" t="s">
        <v>1076</v>
      </c>
      <c r="E205" s="11" t="s">
        <v>112</v>
      </c>
      <c r="F205" s="13" t="s">
        <v>1136</v>
      </c>
      <c r="G205" s="11"/>
      <c r="H205" s="11" t="s">
        <v>86</v>
      </c>
      <c r="I205" s="11"/>
      <c r="J205" s="11" t="s">
        <v>86</v>
      </c>
      <c r="K205" s="11"/>
      <c r="L205" s="13" t="s">
        <v>286</v>
      </c>
      <c r="M205" s="13" t="s">
        <v>1123</v>
      </c>
      <c r="N205" s="13" t="s">
        <v>67</v>
      </c>
      <c r="O205" s="11" t="s">
        <v>186</v>
      </c>
      <c r="P205" s="11" t="s">
        <v>92</v>
      </c>
      <c r="Q205" s="13" t="s">
        <v>1120</v>
      </c>
      <c r="R205" s="15" t="s">
        <v>234</v>
      </c>
      <c r="S205" s="13" t="s">
        <v>1121</v>
      </c>
      <c r="T205" s="16" t="s">
        <v>95</v>
      </c>
      <c r="U205" s="16"/>
    </row>
    <row r="206" customFormat="false" ht="35.05" hidden="false" customHeight="false" outlineLevel="0" collapsed="false">
      <c r="A206" s="11" t="n">
        <v>202</v>
      </c>
      <c r="B206" s="12" t="s">
        <v>1152</v>
      </c>
      <c r="C206" s="13"/>
      <c r="D206" s="14" t="s">
        <v>1076</v>
      </c>
      <c r="E206" s="11" t="s">
        <v>112</v>
      </c>
      <c r="F206" s="13" t="s">
        <v>1153</v>
      </c>
      <c r="G206" s="11" t="s">
        <v>86</v>
      </c>
      <c r="H206" s="11" t="s">
        <v>86</v>
      </c>
      <c r="I206" s="11"/>
      <c r="J206" s="11" t="s">
        <v>86</v>
      </c>
      <c r="K206" s="11"/>
      <c r="L206" s="13" t="s">
        <v>286</v>
      </c>
      <c r="M206" s="13" t="s">
        <v>1123</v>
      </c>
      <c r="N206" s="13" t="s">
        <v>1154</v>
      </c>
      <c r="O206" s="11" t="s">
        <v>186</v>
      </c>
      <c r="P206" s="11" t="s">
        <v>92</v>
      </c>
      <c r="Q206" s="13" t="s">
        <v>1120</v>
      </c>
      <c r="R206" s="15" t="s">
        <v>234</v>
      </c>
      <c r="S206" s="13" t="s">
        <v>1121</v>
      </c>
      <c r="T206" s="16" t="s">
        <v>95</v>
      </c>
      <c r="U206" s="16"/>
    </row>
    <row r="207" customFormat="false" ht="35.05" hidden="false" customHeight="false" outlineLevel="0" collapsed="false">
      <c r="A207" s="11" t="n">
        <v>203</v>
      </c>
      <c r="B207" s="12" t="s">
        <v>1155</v>
      </c>
      <c r="C207" s="13"/>
      <c r="D207" s="14" t="s">
        <v>1076</v>
      </c>
      <c r="E207" s="11" t="s">
        <v>112</v>
      </c>
      <c r="F207" s="13" t="s">
        <v>1156</v>
      </c>
      <c r="G207" s="11"/>
      <c r="H207" s="11" t="s">
        <v>86</v>
      </c>
      <c r="I207" s="11"/>
      <c r="J207" s="11" t="s">
        <v>86</v>
      </c>
      <c r="K207" s="11"/>
      <c r="L207" s="13" t="s">
        <v>286</v>
      </c>
      <c r="M207" s="13" t="s">
        <v>1157</v>
      </c>
      <c r="N207" s="13" t="s">
        <v>1158</v>
      </c>
      <c r="O207" s="11" t="s">
        <v>186</v>
      </c>
      <c r="P207" s="11" t="s">
        <v>92</v>
      </c>
      <c r="Q207" s="13" t="s">
        <v>1120</v>
      </c>
      <c r="R207" s="15" t="s">
        <v>234</v>
      </c>
      <c r="S207" s="13" t="s">
        <v>1159</v>
      </c>
      <c r="T207" s="16" t="s">
        <v>95</v>
      </c>
      <c r="U207" s="16"/>
    </row>
    <row r="208" customFormat="false" ht="35.05" hidden="false" customHeight="false" outlineLevel="0" collapsed="false">
      <c r="A208" s="11" t="n">
        <v>204</v>
      </c>
      <c r="B208" s="12" t="s">
        <v>1160</v>
      </c>
      <c r="C208" s="13"/>
      <c r="D208" s="14" t="s">
        <v>1076</v>
      </c>
      <c r="E208" s="11" t="s">
        <v>112</v>
      </c>
      <c r="F208" s="13" t="s">
        <v>1161</v>
      </c>
      <c r="G208" s="11"/>
      <c r="H208" s="11" t="s">
        <v>86</v>
      </c>
      <c r="I208" s="11"/>
      <c r="J208" s="11" t="s">
        <v>86</v>
      </c>
      <c r="K208" s="11"/>
      <c r="L208" s="13" t="s">
        <v>286</v>
      </c>
      <c r="M208" s="13" t="s">
        <v>1123</v>
      </c>
      <c r="N208" s="13" t="s">
        <v>802</v>
      </c>
      <c r="O208" s="11" t="s">
        <v>186</v>
      </c>
      <c r="P208" s="11" t="s">
        <v>92</v>
      </c>
      <c r="Q208" s="13" t="s">
        <v>1120</v>
      </c>
      <c r="R208" s="15" t="s">
        <v>234</v>
      </c>
      <c r="S208" s="13" t="s">
        <v>1159</v>
      </c>
      <c r="T208" s="16" t="s">
        <v>95</v>
      </c>
      <c r="U208" s="16"/>
    </row>
    <row r="209" customFormat="false" ht="35.05" hidden="false" customHeight="false" outlineLevel="0" collapsed="false">
      <c r="A209" s="11" t="n">
        <v>205</v>
      </c>
      <c r="B209" s="12" t="s">
        <v>1162</v>
      </c>
      <c r="C209" s="13"/>
      <c r="D209" s="14" t="s">
        <v>1076</v>
      </c>
      <c r="E209" s="11" t="s">
        <v>112</v>
      </c>
      <c r="F209" s="13" t="s">
        <v>1163</v>
      </c>
      <c r="G209" s="11" t="s">
        <v>86</v>
      </c>
      <c r="H209" s="11" t="s">
        <v>86</v>
      </c>
      <c r="I209" s="11"/>
      <c r="J209" s="11" t="s">
        <v>86</v>
      </c>
      <c r="K209" s="11"/>
      <c r="L209" s="13" t="s">
        <v>286</v>
      </c>
      <c r="M209" s="13" t="s">
        <v>1123</v>
      </c>
      <c r="N209" s="13" t="s">
        <v>1164</v>
      </c>
      <c r="O209" s="11" t="s">
        <v>186</v>
      </c>
      <c r="P209" s="11" t="s">
        <v>92</v>
      </c>
      <c r="Q209" s="13" t="s">
        <v>1120</v>
      </c>
      <c r="R209" s="15" t="s">
        <v>234</v>
      </c>
      <c r="S209" s="13" t="s">
        <v>1121</v>
      </c>
      <c r="T209" s="16" t="s">
        <v>95</v>
      </c>
      <c r="U209" s="16"/>
    </row>
    <row r="210" customFormat="false" ht="23.85" hidden="false" customHeight="false" outlineLevel="0" collapsed="false">
      <c r="A210" s="11" t="n">
        <v>206</v>
      </c>
      <c r="B210" s="12" t="s">
        <v>1165</v>
      </c>
      <c r="C210" s="13"/>
      <c r="D210" s="14" t="s">
        <v>1076</v>
      </c>
      <c r="E210" s="11" t="s">
        <v>112</v>
      </c>
      <c r="F210" s="13" t="s">
        <v>1166</v>
      </c>
      <c r="G210" s="11" t="s">
        <v>86</v>
      </c>
      <c r="H210" s="11"/>
      <c r="I210" s="11" t="s">
        <v>86</v>
      </c>
      <c r="J210" s="11" t="s">
        <v>86</v>
      </c>
      <c r="K210" s="11"/>
      <c r="L210" s="13" t="s">
        <v>273</v>
      </c>
      <c r="M210" s="13" t="s">
        <v>1167</v>
      </c>
      <c r="N210" s="13" t="s">
        <v>1168</v>
      </c>
      <c r="O210" s="11" t="s">
        <v>186</v>
      </c>
      <c r="P210" s="11" t="s">
        <v>132</v>
      </c>
      <c r="Q210" s="13" t="s">
        <v>604</v>
      </c>
      <c r="R210" s="15" t="s">
        <v>234</v>
      </c>
      <c r="S210" s="13" t="s">
        <v>1169</v>
      </c>
      <c r="T210" s="16" t="s">
        <v>95</v>
      </c>
      <c r="U210" s="16"/>
    </row>
    <row r="211" customFormat="false" ht="23.85" hidden="false" customHeight="false" outlineLevel="0" collapsed="false">
      <c r="A211" s="11" t="n">
        <v>207</v>
      </c>
      <c r="B211" s="12" t="s">
        <v>1170</v>
      </c>
      <c r="C211" s="13"/>
      <c r="D211" s="14" t="s">
        <v>1076</v>
      </c>
      <c r="E211" s="11" t="s">
        <v>112</v>
      </c>
      <c r="F211" s="13" t="s">
        <v>1166</v>
      </c>
      <c r="G211" s="11" t="s">
        <v>86</v>
      </c>
      <c r="H211" s="11"/>
      <c r="I211" s="11" t="s">
        <v>86</v>
      </c>
      <c r="J211" s="11" t="s">
        <v>86</v>
      </c>
      <c r="K211" s="11"/>
      <c r="L211" s="13" t="s">
        <v>273</v>
      </c>
      <c r="M211" s="13" t="s">
        <v>1167</v>
      </c>
      <c r="N211" s="13" t="s">
        <v>1168</v>
      </c>
      <c r="O211" s="11" t="s">
        <v>186</v>
      </c>
      <c r="P211" s="11" t="s">
        <v>132</v>
      </c>
      <c r="Q211" s="13" t="s">
        <v>604</v>
      </c>
      <c r="R211" s="15" t="s">
        <v>234</v>
      </c>
      <c r="S211" s="13" t="s">
        <v>1169</v>
      </c>
      <c r="T211" s="16" t="s">
        <v>95</v>
      </c>
      <c r="U211" s="16"/>
    </row>
    <row r="212" customFormat="false" ht="23.85" hidden="false" customHeight="false" outlineLevel="0" collapsed="false">
      <c r="A212" s="11" t="n">
        <v>208</v>
      </c>
      <c r="B212" s="12" t="s">
        <v>1171</v>
      </c>
      <c r="C212" s="13"/>
      <c r="D212" s="14" t="s">
        <v>1172</v>
      </c>
      <c r="E212" s="11" t="s">
        <v>112</v>
      </c>
      <c r="F212" s="13" t="s">
        <v>1173</v>
      </c>
      <c r="G212" s="11" t="s">
        <v>86</v>
      </c>
      <c r="H212" s="11"/>
      <c r="I212" s="11"/>
      <c r="J212" s="11"/>
      <c r="K212" s="11" t="s">
        <v>87</v>
      </c>
      <c r="L212" s="13"/>
      <c r="M212" s="13" t="s">
        <v>1174</v>
      </c>
      <c r="N212" s="13" t="s">
        <v>1175</v>
      </c>
      <c r="O212" s="11" t="s">
        <v>152</v>
      </c>
      <c r="P212" s="11" t="s">
        <v>92</v>
      </c>
      <c r="Q212" s="13" t="s">
        <v>582</v>
      </c>
      <c r="R212" s="11" t="s">
        <v>268</v>
      </c>
      <c r="S212" s="13"/>
      <c r="T212" s="16" t="s">
        <v>95</v>
      </c>
      <c r="U212" s="16"/>
    </row>
    <row r="213" customFormat="false" ht="23.85" hidden="false" customHeight="false" outlineLevel="0" collapsed="false">
      <c r="A213" s="11" t="n">
        <v>209</v>
      </c>
      <c r="B213" s="12" t="s">
        <v>1176</v>
      </c>
      <c r="C213" s="13"/>
      <c r="D213" s="14" t="s">
        <v>1172</v>
      </c>
      <c r="E213" s="11" t="s">
        <v>112</v>
      </c>
      <c r="F213" s="13" t="s">
        <v>1177</v>
      </c>
      <c r="G213" s="11" t="s">
        <v>86</v>
      </c>
      <c r="H213" s="11"/>
      <c r="I213" s="11"/>
      <c r="J213" s="11"/>
      <c r="K213" s="11" t="s">
        <v>87</v>
      </c>
      <c r="L213" s="13"/>
      <c r="M213" s="13" t="s">
        <v>1178</v>
      </c>
      <c r="N213" s="13" t="s">
        <v>1179</v>
      </c>
      <c r="O213" s="11" t="s">
        <v>186</v>
      </c>
      <c r="P213" s="11" t="s">
        <v>92</v>
      </c>
      <c r="Q213" s="13" t="s">
        <v>1180</v>
      </c>
      <c r="R213" s="11" t="s">
        <v>268</v>
      </c>
      <c r="S213" s="13"/>
      <c r="T213" s="16" t="s">
        <v>95</v>
      </c>
      <c r="U213" s="16"/>
    </row>
    <row r="214" customFormat="false" ht="15" hidden="false" customHeight="false" outlineLevel="0" collapsed="false">
      <c r="A214" s="11" t="n">
        <v>210</v>
      </c>
      <c r="B214" s="12" t="s">
        <v>1181</v>
      </c>
      <c r="C214" s="13"/>
      <c r="D214" s="14" t="s">
        <v>1172</v>
      </c>
      <c r="E214" s="11" t="s">
        <v>112</v>
      </c>
      <c r="F214" s="13" t="s">
        <v>1182</v>
      </c>
      <c r="G214" s="11" t="s">
        <v>86</v>
      </c>
      <c r="H214" s="11" t="s">
        <v>86</v>
      </c>
      <c r="I214" s="11"/>
      <c r="J214" s="11" t="s">
        <v>86</v>
      </c>
      <c r="K214" s="11"/>
      <c r="L214" s="13" t="s">
        <v>286</v>
      </c>
      <c r="M214" s="13" t="s">
        <v>1183</v>
      </c>
      <c r="N214" s="13" t="s">
        <v>1184</v>
      </c>
      <c r="O214" s="11" t="s">
        <v>186</v>
      </c>
      <c r="P214" s="11" t="s">
        <v>132</v>
      </c>
      <c r="Q214" s="13" t="s">
        <v>604</v>
      </c>
      <c r="R214" s="15" t="s">
        <v>94</v>
      </c>
      <c r="S214" s="13"/>
      <c r="T214" s="16" t="s">
        <v>95</v>
      </c>
      <c r="U214" s="16"/>
    </row>
    <row r="215" customFormat="false" ht="23.85" hidden="false" customHeight="false" outlineLevel="0" collapsed="false">
      <c r="A215" s="11" t="n">
        <v>211</v>
      </c>
      <c r="B215" s="12" t="s">
        <v>1185</v>
      </c>
      <c r="C215" s="17" t="s">
        <v>1186</v>
      </c>
      <c r="D215" s="14" t="s">
        <v>1172</v>
      </c>
      <c r="E215" s="11" t="s">
        <v>84</v>
      </c>
      <c r="F215" s="13" t="s">
        <v>1187</v>
      </c>
      <c r="G215" s="11"/>
      <c r="H215" s="11"/>
      <c r="I215" s="11"/>
      <c r="J215" s="11"/>
      <c r="K215" s="11" t="s">
        <v>86</v>
      </c>
      <c r="L215" s="13" t="s">
        <v>286</v>
      </c>
      <c r="M215" s="13" t="s">
        <v>1188</v>
      </c>
      <c r="N215" s="13" t="s">
        <v>1189</v>
      </c>
      <c r="O215" s="11" t="s">
        <v>193</v>
      </c>
      <c r="P215" s="11" t="s">
        <v>132</v>
      </c>
      <c r="Q215" s="13" t="s">
        <v>1012</v>
      </c>
      <c r="R215" s="15" t="s">
        <v>94</v>
      </c>
      <c r="S215" s="13"/>
      <c r="T215" s="16" t="s">
        <v>95</v>
      </c>
      <c r="U215" s="16"/>
    </row>
    <row r="216" customFormat="false" ht="15" hidden="false" customHeight="false" outlineLevel="0" collapsed="false">
      <c r="A216" s="11" t="n">
        <v>212</v>
      </c>
      <c r="B216" s="12" t="s">
        <v>1190</v>
      </c>
      <c r="C216" s="13"/>
      <c r="D216" s="14" t="s">
        <v>1172</v>
      </c>
      <c r="E216" s="11" t="s">
        <v>112</v>
      </c>
      <c r="F216" s="13" t="s">
        <v>648</v>
      </c>
      <c r="G216" s="11"/>
      <c r="H216" s="11"/>
      <c r="I216" s="11" t="s">
        <v>86</v>
      </c>
      <c r="J216" s="11"/>
      <c r="K216" s="11" t="s">
        <v>86</v>
      </c>
      <c r="L216" s="13" t="s">
        <v>273</v>
      </c>
      <c r="M216" s="13" t="s">
        <v>1191</v>
      </c>
      <c r="N216" s="13" t="s">
        <v>1192</v>
      </c>
      <c r="O216" s="11" t="s">
        <v>193</v>
      </c>
      <c r="P216" s="11" t="s">
        <v>92</v>
      </c>
      <c r="Q216" s="13" t="s">
        <v>1193</v>
      </c>
      <c r="R216" s="15" t="s">
        <v>94</v>
      </c>
      <c r="S216" s="13"/>
      <c r="T216" s="16" t="s">
        <v>95</v>
      </c>
      <c r="U216" s="16"/>
    </row>
    <row r="217" customFormat="false" ht="23.85" hidden="false" customHeight="false" outlineLevel="0" collapsed="false">
      <c r="A217" s="11" t="n">
        <v>213</v>
      </c>
      <c r="B217" s="12" t="s">
        <v>1194</v>
      </c>
      <c r="C217" s="13"/>
      <c r="D217" s="14" t="s">
        <v>1172</v>
      </c>
      <c r="E217" s="11" t="s">
        <v>298</v>
      </c>
      <c r="F217" s="13" t="s">
        <v>1195</v>
      </c>
      <c r="G217" s="11"/>
      <c r="H217" s="11"/>
      <c r="I217" s="11"/>
      <c r="J217" s="11"/>
      <c r="K217" s="11" t="s">
        <v>86</v>
      </c>
      <c r="L217" s="13" t="s">
        <v>273</v>
      </c>
      <c r="M217" s="13" t="s">
        <v>1196</v>
      </c>
      <c r="N217" s="13" t="s">
        <v>1197</v>
      </c>
      <c r="O217" s="11" t="s">
        <v>193</v>
      </c>
      <c r="P217" s="11" t="s">
        <v>132</v>
      </c>
      <c r="Q217" s="13" t="s">
        <v>1198</v>
      </c>
      <c r="R217" s="15" t="s">
        <v>94</v>
      </c>
      <c r="S217" s="13"/>
      <c r="T217" s="16" t="s">
        <v>95</v>
      </c>
      <c r="U217" s="16"/>
    </row>
    <row r="218" customFormat="false" ht="23.85" hidden="false" customHeight="false" outlineLevel="0" collapsed="false">
      <c r="A218" s="11" t="n">
        <v>214</v>
      </c>
      <c r="B218" s="12" t="s">
        <v>1199</v>
      </c>
      <c r="C218" s="13"/>
      <c r="D218" s="14" t="s">
        <v>1200</v>
      </c>
      <c r="E218" s="11" t="s">
        <v>112</v>
      </c>
      <c r="F218" s="13" t="s">
        <v>1201</v>
      </c>
      <c r="G218" s="11" t="s">
        <v>86</v>
      </c>
      <c r="H218" s="11"/>
      <c r="I218" s="11"/>
      <c r="J218" s="11"/>
      <c r="K218" s="11" t="s">
        <v>87</v>
      </c>
      <c r="L218" s="13"/>
      <c r="M218" s="13" t="s">
        <v>1202</v>
      </c>
      <c r="N218" s="13" t="s">
        <v>1203</v>
      </c>
      <c r="O218" s="11" t="s">
        <v>186</v>
      </c>
      <c r="P218" s="11" t="s">
        <v>92</v>
      </c>
      <c r="Q218" s="13" t="s">
        <v>550</v>
      </c>
      <c r="R218" s="11" t="s">
        <v>268</v>
      </c>
      <c r="S218" s="13"/>
      <c r="T218" s="16" t="s">
        <v>95</v>
      </c>
      <c r="U218" s="16"/>
    </row>
    <row r="219" customFormat="false" ht="23.85" hidden="false" customHeight="false" outlineLevel="0" collapsed="false">
      <c r="A219" s="11" t="n">
        <v>215</v>
      </c>
      <c r="B219" s="12" t="s">
        <v>1204</v>
      </c>
      <c r="C219" s="13"/>
      <c r="D219" s="14" t="s">
        <v>1200</v>
      </c>
      <c r="E219" s="11" t="s">
        <v>112</v>
      </c>
      <c r="F219" s="13" t="s">
        <v>1205</v>
      </c>
      <c r="G219" s="11" t="s">
        <v>86</v>
      </c>
      <c r="H219" s="11" t="s">
        <v>86</v>
      </c>
      <c r="I219" s="11"/>
      <c r="J219" s="11" t="s">
        <v>86</v>
      </c>
      <c r="K219" s="11"/>
      <c r="L219" s="13" t="s">
        <v>286</v>
      </c>
      <c r="M219" s="13" t="s">
        <v>1123</v>
      </c>
      <c r="N219" s="13" t="s">
        <v>1206</v>
      </c>
      <c r="O219" s="11" t="s">
        <v>186</v>
      </c>
      <c r="P219" s="11" t="s">
        <v>92</v>
      </c>
      <c r="Q219" s="13" t="s">
        <v>1120</v>
      </c>
      <c r="R219" s="15" t="s">
        <v>234</v>
      </c>
      <c r="S219" s="13" t="s">
        <v>1207</v>
      </c>
      <c r="T219" s="16" t="s">
        <v>95</v>
      </c>
      <c r="U219" s="16"/>
    </row>
    <row r="220" customFormat="false" ht="23.85" hidden="false" customHeight="false" outlineLevel="0" collapsed="false">
      <c r="A220" s="11" t="n">
        <v>216</v>
      </c>
      <c r="B220" s="12" t="s">
        <v>1208</v>
      </c>
      <c r="C220" s="13"/>
      <c r="D220" s="14" t="s">
        <v>1200</v>
      </c>
      <c r="E220" s="11" t="s">
        <v>112</v>
      </c>
      <c r="F220" s="13" t="s">
        <v>1209</v>
      </c>
      <c r="G220" s="11" t="s">
        <v>86</v>
      </c>
      <c r="H220" s="11"/>
      <c r="I220" s="11"/>
      <c r="J220" s="11"/>
      <c r="K220" s="11" t="s">
        <v>87</v>
      </c>
      <c r="L220" s="13"/>
      <c r="M220" s="13" t="s">
        <v>1210</v>
      </c>
      <c r="N220" s="13" t="s">
        <v>1211</v>
      </c>
      <c r="O220" s="11" t="s">
        <v>193</v>
      </c>
      <c r="P220" s="11" t="s">
        <v>92</v>
      </c>
      <c r="Q220" s="13" t="s">
        <v>1212</v>
      </c>
      <c r="R220" s="11" t="s">
        <v>268</v>
      </c>
      <c r="S220" s="13"/>
      <c r="T220" s="16" t="s">
        <v>95</v>
      </c>
      <c r="U220" s="16"/>
    </row>
    <row r="221" customFormat="false" ht="23.85" hidden="false" customHeight="false" outlineLevel="0" collapsed="false">
      <c r="A221" s="11" t="n">
        <v>217</v>
      </c>
      <c r="B221" s="12" t="s">
        <v>1213</v>
      </c>
      <c r="C221" s="13"/>
      <c r="D221" s="14" t="s">
        <v>1200</v>
      </c>
      <c r="E221" s="11" t="s">
        <v>112</v>
      </c>
      <c r="F221" s="13" t="s">
        <v>1214</v>
      </c>
      <c r="G221" s="11" t="s">
        <v>86</v>
      </c>
      <c r="H221" s="11" t="s">
        <v>86</v>
      </c>
      <c r="I221" s="11" t="s">
        <v>86</v>
      </c>
      <c r="J221" s="11"/>
      <c r="K221" s="11" t="s">
        <v>86</v>
      </c>
      <c r="L221" s="13" t="s">
        <v>286</v>
      </c>
      <c r="M221" s="13" t="s">
        <v>1215</v>
      </c>
      <c r="N221" s="13" t="s">
        <v>1216</v>
      </c>
      <c r="O221" s="11" t="s">
        <v>193</v>
      </c>
      <c r="P221" s="11" t="s">
        <v>92</v>
      </c>
      <c r="Q221" s="13" t="s">
        <v>1217</v>
      </c>
      <c r="R221" s="15" t="s">
        <v>234</v>
      </c>
      <c r="S221" s="13" t="s">
        <v>1218</v>
      </c>
      <c r="T221" s="16" t="s">
        <v>95</v>
      </c>
      <c r="U221" s="16"/>
    </row>
    <row r="222" customFormat="false" ht="23.85" hidden="false" customHeight="false" outlineLevel="0" collapsed="false">
      <c r="A222" s="11" t="n">
        <v>218</v>
      </c>
      <c r="B222" s="12" t="s">
        <v>1219</v>
      </c>
      <c r="C222" s="13"/>
      <c r="D222" s="14" t="s">
        <v>1200</v>
      </c>
      <c r="E222" s="11" t="s">
        <v>112</v>
      </c>
      <c r="F222" s="13" t="s">
        <v>253</v>
      </c>
      <c r="G222" s="11"/>
      <c r="H222" s="11"/>
      <c r="I222" s="11" t="s">
        <v>86</v>
      </c>
      <c r="J222" s="11"/>
      <c r="K222" s="11" t="s">
        <v>86</v>
      </c>
      <c r="L222" s="13" t="s">
        <v>286</v>
      </c>
      <c r="M222" s="13" t="s">
        <v>1220</v>
      </c>
      <c r="N222" s="13" t="s">
        <v>1221</v>
      </c>
      <c r="O222" s="11" t="s">
        <v>193</v>
      </c>
      <c r="P222" s="11" t="s">
        <v>92</v>
      </c>
      <c r="Q222" s="13" t="s">
        <v>1222</v>
      </c>
      <c r="R222" s="15" t="s">
        <v>234</v>
      </c>
      <c r="S222" s="13" t="s">
        <v>1218</v>
      </c>
      <c r="T222" s="16" t="s">
        <v>95</v>
      </c>
      <c r="U222" s="16"/>
    </row>
    <row r="223" customFormat="false" ht="23.85" hidden="false" customHeight="false" outlineLevel="0" collapsed="false">
      <c r="A223" s="11" t="n">
        <v>219</v>
      </c>
      <c r="B223" s="12" t="s">
        <v>1223</v>
      </c>
      <c r="C223" s="13"/>
      <c r="D223" s="14" t="s">
        <v>1200</v>
      </c>
      <c r="E223" s="11" t="s">
        <v>112</v>
      </c>
      <c r="F223" s="13" t="s">
        <v>253</v>
      </c>
      <c r="G223" s="11"/>
      <c r="H223" s="11" t="s">
        <v>86</v>
      </c>
      <c r="I223" s="11" t="s">
        <v>86</v>
      </c>
      <c r="J223" s="11"/>
      <c r="K223" s="11"/>
      <c r="L223" s="13" t="s">
        <v>488</v>
      </c>
      <c r="M223" s="13" t="s">
        <v>1224</v>
      </c>
      <c r="N223" s="13" t="s">
        <v>1225</v>
      </c>
      <c r="O223" s="11" t="s">
        <v>193</v>
      </c>
      <c r="P223" s="11" t="s">
        <v>92</v>
      </c>
      <c r="Q223" s="13" t="s">
        <v>1222</v>
      </c>
      <c r="R223" s="15" t="s">
        <v>234</v>
      </c>
      <c r="S223" s="13" t="s">
        <v>1218</v>
      </c>
      <c r="T223" s="16" t="s">
        <v>95</v>
      </c>
      <c r="U223" s="16"/>
    </row>
    <row r="224" customFormat="false" ht="23.85" hidden="false" customHeight="false" outlineLevel="0" collapsed="false">
      <c r="A224" s="11" t="n">
        <v>220</v>
      </c>
      <c r="B224" s="12" t="s">
        <v>1226</v>
      </c>
      <c r="C224" s="13"/>
      <c r="D224" s="14" t="s">
        <v>1200</v>
      </c>
      <c r="E224" s="11" t="s">
        <v>112</v>
      </c>
      <c r="F224" s="13" t="s">
        <v>253</v>
      </c>
      <c r="G224" s="11"/>
      <c r="H224" s="11"/>
      <c r="I224" s="11" t="s">
        <v>86</v>
      </c>
      <c r="J224" s="11"/>
      <c r="K224" s="11" t="s">
        <v>86</v>
      </c>
      <c r="L224" s="13" t="s">
        <v>286</v>
      </c>
      <c r="M224" s="13" t="s">
        <v>1227</v>
      </c>
      <c r="N224" s="13" t="s">
        <v>1225</v>
      </c>
      <c r="O224" s="11" t="s">
        <v>193</v>
      </c>
      <c r="P224" s="11" t="s">
        <v>132</v>
      </c>
      <c r="Q224" s="13" t="s">
        <v>1217</v>
      </c>
      <c r="R224" s="15" t="s">
        <v>234</v>
      </c>
      <c r="S224" s="13" t="s">
        <v>1218</v>
      </c>
      <c r="T224" s="16" t="s">
        <v>95</v>
      </c>
      <c r="U224" s="16"/>
    </row>
    <row r="225" customFormat="false" ht="23.85" hidden="false" customHeight="false" outlineLevel="0" collapsed="false">
      <c r="A225" s="11" t="n">
        <v>221</v>
      </c>
      <c r="B225" s="12" t="s">
        <v>1228</v>
      </c>
      <c r="C225" s="13"/>
      <c r="D225" s="14" t="s">
        <v>1200</v>
      </c>
      <c r="E225" s="11" t="s">
        <v>112</v>
      </c>
      <c r="F225" s="13" t="s">
        <v>253</v>
      </c>
      <c r="G225" s="11"/>
      <c r="H225" s="11" t="s">
        <v>86</v>
      </c>
      <c r="I225" s="11"/>
      <c r="J225" s="11"/>
      <c r="K225" s="11"/>
      <c r="L225" s="13" t="s">
        <v>488</v>
      </c>
      <c r="M225" s="13" t="s">
        <v>1229</v>
      </c>
      <c r="N225" s="13" t="s">
        <v>1230</v>
      </c>
      <c r="O225" s="11" t="s">
        <v>193</v>
      </c>
      <c r="P225" s="11" t="s">
        <v>92</v>
      </c>
      <c r="Q225" s="13" t="s">
        <v>1231</v>
      </c>
      <c r="R225" s="15" t="s">
        <v>234</v>
      </c>
      <c r="S225" s="13" t="s">
        <v>1218</v>
      </c>
      <c r="T225" s="16" t="s">
        <v>95</v>
      </c>
      <c r="U225" s="16"/>
    </row>
    <row r="226" customFormat="false" ht="23.85" hidden="false" customHeight="false" outlineLevel="0" collapsed="false">
      <c r="A226" s="11" t="n">
        <v>222</v>
      </c>
      <c r="B226" s="12" t="s">
        <v>1232</v>
      </c>
      <c r="C226" s="13"/>
      <c r="D226" s="14" t="s">
        <v>1200</v>
      </c>
      <c r="E226" s="11" t="s">
        <v>112</v>
      </c>
      <c r="F226" s="13" t="s">
        <v>1233</v>
      </c>
      <c r="G226" s="11" t="s">
        <v>86</v>
      </c>
      <c r="H226" s="11" t="s">
        <v>86</v>
      </c>
      <c r="I226" s="11"/>
      <c r="J226" s="11"/>
      <c r="K226" s="11"/>
      <c r="L226" s="13" t="s">
        <v>286</v>
      </c>
      <c r="M226" s="13" t="s">
        <v>1234</v>
      </c>
      <c r="N226" s="13" t="s">
        <v>1235</v>
      </c>
      <c r="O226" s="11" t="s">
        <v>193</v>
      </c>
      <c r="P226" s="11" t="s">
        <v>132</v>
      </c>
      <c r="Q226" s="13" t="s">
        <v>604</v>
      </c>
      <c r="R226" s="15" t="s">
        <v>234</v>
      </c>
      <c r="S226" s="13" t="s">
        <v>1236</v>
      </c>
      <c r="T226" s="16" t="s">
        <v>95</v>
      </c>
      <c r="U226" s="16"/>
    </row>
  </sheetData>
  <autoFilter ref="A4:U226"/>
  <mergeCells count="1">
    <mergeCell ref="A2:U2"/>
  </mergeCells>
  <conditionalFormatting sqref="O5:O226">
    <cfRule type="cellIs" priority="2" operator="equal" aboveAverage="0" equalAverage="0" bottom="0" percent="0" rank="0" text="" dxfId="9">
      <formula>"High"</formula>
    </cfRule>
    <cfRule type="cellIs" priority="3" operator="equal" aboveAverage="0" equalAverage="0" bottom="0" percent="0" rank="0" text="" dxfId="10">
      <formula>"Medium-High"</formula>
    </cfRule>
    <cfRule type="cellIs" priority="4" operator="equal" aboveAverage="0" equalAverage="0" bottom="0" percent="0" rank="0" text="" dxfId="11">
      <formula>"Radar"</formula>
    </cfRule>
  </conditionalFormatting>
  <conditionalFormatting sqref="P5:P226">
    <cfRule type="cellIs" priority="5" operator="equal" aboveAverage="0" equalAverage="0" bottom="0" percent="0" rank="0" text="" dxfId="12">
      <formula>"To verify"</formula>
    </cfRule>
  </conditionalFormatting>
  <dataValidations count="1">
    <dataValidation allowBlank="true" errorStyle="stop" operator="between" showDropDown="false" showErrorMessage="false" showInputMessage="false" sqref="T5:T226" type="list">
      <formula1>"Not started,Researching,Contacted,Meeting set,Proposal / terms,Signed,On hold,Dead"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28"/>
    <col collapsed="false" customWidth="true" hidden="false" outlineLevel="0" max="4" min="4" style="0" width="11"/>
    <col collapsed="false" customWidth="true" hidden="false" outlineLevel="0" max="5" min="5" style="0" width="16"/>
    <col collapsed="false" customWidth="true" hidden="false" outlineLevel="0" max="6" min="6" style="0" width="60"/>
    <col collapsed="false" customWidth="true" hidden="false" outlineLevel="0" max="7" min="7" style="0" width="40"/>
    <col collapsed="false" customWidth="true" hidden="false" outlineLevel="0" max="8" min="8" style="0" width="22"/>
    <col collapsed="false" customWidth="true" hidden="false" outlineLevel="0" max="9" min="9" style="0" width="18"/>
    <col collapsed="false" customWidth="true" hidden="false" outlineLevel="0" max="10" min="10" style="0" width="12"/>
    <col collapsed="false" customWidth="true" hidden="false" outlineLevel="0" max="12" min="11" style="0" width="10"/>
    <col collapsed="false" customWidth="true" hidden="false" outlineLevel="0" max="13" min="13" style="0" width="34"/>
    <col collapsed="false" customWidth="true" hidden="false" outlineLevel="0" max="14" min="14" style="0" width="14"/>
  </cols>
  <sheetData>
    <row r="1" customFormat="false" ht="17.35" hidden="false" customHeight="false" outlineLevel="0" collapsed="false">
      <c r="A1" s="5" t="s">
        <v>1237</v>
      </c>
    </row>
    <row r="2" customFormat="false" ht="42" hidden="false" customHeight="true" outlineLevel="0" collapsed="false">
      <c r="A2" s="9" t="s">
        <v>1238</v>
      </c>
      <c r="B2" s="9"/>
      <c r="C2" s="9"/>
      <c r="D2" s="9"/>
      <c r="E2" s="9"/>
      <c r="F2" s="9"/>
      <c r="G2" s="9"/>
      <c r="H2" s="9"/>
      <c r="I2" s="9"/>
      <c r="J2" s="9"/>
      <c r="K2" s="9"/>
      <c r="L2" s="9"/>
      <c r="M2" s="9"/>
      <c r="N2" s="9"/>
    </row>
    <row r="4" customFormat="false" ht="52.2" hidden="false" customHeight="false" outlineLevel="0" collapsed="false">
      <c r="A4" s="10" t="s">
        <v>60</v>
      </c>
      <c r="B4" s="10" t="s">
        <v>61</v>
      </c>
      <c r="C4" s="10" t="s">
        <v>1239</v>
      </c>
      <c r="D4" s="10" t="s">
        <v>74</v>
      </c>
      <c r="E4" s="10" t="s">
        <v>1240</v>
      </c>
      <c r="F4" s="10" t="s">
        <v>1241</v>
      </c>
      <c r="G4" s="10" t="s">
        <v>1242</v>
      </c>
      <c r="H4" s="10" t="s">
        <v>1243</v>
      </c>
      <c r="I4" s="10" t="s">
        <v>1244</v>
      </c>
      <c r="J4" s="10" t="s">
        <v>1245</v>
      </c>
      <c r="K4" s="10" t="s">
        <v>1246</v>
      </c>
      <c r="L4" s="10" t="s">
        <v>1247</v>
      </c>
      <c r="M4" s="10" t="s">
        <v>1248</v>
      </c>
      <c r="N4" s="10" t="s">
        <v>1249</v>
      </c>
    </row>
    <row r="5" customFormat="false" ht="46.25" hidden="false" customHeight="false" outlineLevel="0" collapsed="false">
      <c r="A5" s="11" t="n">
        <v>1</v>
      </c>
      <c r="B5" s="12" t="s">
        <v>81</v>
      </c>
      <c r="C5" s="13" t="s">
        <v>81</v>
      </c>
      <c r="D5" s="11" t="s">
        <v>91</v>
      </c>
      <c r="E5" s="13" t="s">
        <v>1250</v>
      </c>
      <c r="F5" s="13" t="s">
        <v>1251</v>
      </c>
      <c r="G5" s="13" t="s">
        <v>1252</v>
      </c>
      <c r="H5" s="13" t="s">
        <v>1253</v>
      </c>
      <c r="I5" s="19" t="s">
        <v>1254</v>
      </c>
      <c r="J5" s="11" t="s">
        <v>1255</v>
      </c>
      <c r="K5" s="13" t="s">
        <v>1256</v>
      </c>
      <c r="L5" s="20"/>
      <c r="M5" s="16"/>
      <c r="N5" s="16" t="s">
        <v>95</v>
      </c>
    </row>
    <row r="6" customFormat="false" ht="46.25" hidden="false" customHeight="false" outlineLevel="0" collapsed="false">
      <c r="A6" s="11" t="n">
        <v>2</v>
      </c>
      <c r="B6" s="12" t="s">
        <v>96</v>
      </c>
      <c r="C6" s="13" t="s">
        <v>1257</v>
      </c>
      <c r="D6" s="11" t="s">
        <v>91</v>
      </c>
      <c r="E6" s="13" t="s">
        <v>1250</v>
      </c>
      <c r="F6" s="13" t="s">
        <v>1258</v>
      </c>
      <c r="G6" s="13" t="s">
        <v>1252</v>
      </c>
      <c r="H6" s="13" t="s">
        <v>1253</v>
      </c>
      <c r="I6" s="19" t="s">
        <v>1254</v>
      </c>
      <c r="J6" s="11" t="s">
        <v>1255</v>
      </c>
      <c r="K6" s="13" t="s">
        <v>1256</v>
      </c>
      <c r="L6" s="20"/>
      <c r="M6" s="16"/>
      <c r="N6" s="16" t="s">
        <v>95</v>
      </c>
    </row>
    <row r="7" customFormat="false" ht="46.25" hidden="false" customHeight="false" outlineLevel="0" collapsed="false">
      <c r="A7" s="11" t="n">
        <v>3</v>
      </c>
      <c r="B7" s="12" t="s">
        <v>103</v>
      </c>
      <c r="C7" s="13" t="s">
        <v>103</v>
      </c>
      <c r="D7" s="11" t="s">
        <v>91</v>
      </c>
      <c r="E7" s="13" t="s">
        <v>1250</v>
      </c>
      <c r="F7" s="13" t="s">
        <v>1251</v>
      </c>
      <c r="G7" s="13" t="s">
        <v>1252</v>
      </c>
      <c r="H7" s="13" t="s">
        <v>1253</v>
      </c>
      <c r="I7" s="19" t="s">
        <v>1254</v>
      </c>
      <c r="J7" s="11" t="s">
        <v>1259</v>
      </c>
      <c r="K7" s="13" t="s">
        <v>1260</v>
      </c>
      <c r="L7" s="20"/>
      <c r="M7" s="16"/>
      <c r="N7" s="16" t="s">
        <v>95</v>
      </c>
    </row>
    <row r="8" customFormat="false" ht="46.25" hidden="false" customHeight="false" outlineLevel="0" collapsed="false">
      <c r="A8" s="11" t="n">
        <v>4</v>
      </c>
      <c r="B8" s="12" t="s">
        <v>110</v>
      </c>
      <c r="C8" s="13" t="s">
        <v>111</v>
      </c>
      <c r="D8" s="11" t="s">
        <v>91</v>
      </c>
      <c r="E8" s="13" t="s">
        <v>1250</v>
      </c>
      <c r="F8" s="13" t="s">
        <v>1261</v>
      </c>
      <c r="G8" s="13" t="s">
        <v>1252</v>
      </c>
      <c r="H8" s="13" t="s">
        <v>1253</v>
      </c>
      <c r="I8" s="19" t="s">
        <v>1254</v>
      </c>
      <c r="J8" s="11" t="s">
        <v>1259</v>
      </c>
      <c r="K8" s="13" t="s">
        <v>1262</v>
      </c>
      <c r="L8" s="20"/>
      <c r="M8" s="16"/>
      <c r="N8" s="16" t="s">
        <v>95</v>
      </c>
    </row>
    <row r="9" customFormat="false" ht="46.25" hidden="false" customHeight="false" outlineLevel="0" collapsed="false">
      <c r="A9" s="11" t="n">
        <v>5</v>
      </c>
      <c r="B9" s="12" t="s">
        <v>204</v>
      </c>
      <c r="C9" s="13" t="s">
        <v>204</v>
      </c>
      <c r="D9" s="11" t="s">
        <v>91</v>
      </c>
      <c r="E9" s="13" t="s">
        <v>1250</v>
      </c>
      <c r="F9" s="13" t="s">
        <v>1261</v>
      </c>
      <c r="G9" s="13" t="s">
        <v>1252</v>
      </c>
      <c r="H9" s="13"/>
      <c r="I9" s="19" t="s">
        <v>1254</v>
      </c>
      <c r="J9" s="11" t="s">
        <v>1255</v>
      </c>
      <c r="K9" s="13" t="s">
        <v>1256</v>
      </c>
      <c r="L9" s="20"/>
      <c r="M9" s="16"/>
      <c r="N9" s="16" t="s">
        <v>95</v>
      </c>
    </row>
    <row r="10" customFormat="false" ht="46.25" hidden="false" customHeight="false" outlineLevel="0" collapsed="false">
      <c r="A10" s="11" t="n">
        <v>6</v>
      </c>
      <c r="B10" s="12" t="s">
        <v>212</v>
      </c>
      <c r="C10" s="13" t="s">
        <v>1263</v>
      </c>
      <c r="D10" s="11" t="s">
        <v>91</v>
      </c>
      <c r="E10" s="13" t="s">
        <v>1250</v>
      </c>
      <c r="F10" s="13" t="s">
        <v>1264</v>
      </c>
      <c r="G10" s="13" t="s">
        <v>1252</v>
      </c>
      <c r="H10" s="13"/>
      <c r="I10" s="19" t="s">
        <v>1254</v>
      </c>
      <c r="J10" s="11" t="s">
        <v>1255</v>
      </c>
      <c r="K10" s="13" t="s">
        <v>1256</v>
      </c>
      <c r="L10" s="20"/>
      <c r="M10" s="16"/>
      <c r="N10" s="16" t="s">
        <v>95</v>
      </c>
    </row>
    <row r="11" customFormat="false" ht="46.25" hidden="false" customHeight="false" outlineLevel="0" collapsed="false">
      <c r="A11" s="11" t="n">
        <v>7</v>
      </c>
      <c r="B11" s="12" t="s">
        <v>260</v>
      </c>
      <c r="C11" s="13" t="s">
        <v>1265</v>
      </c>
      <c r="D11" s="11" t="s">
        <v>91</v>
      </c>
      <c r="E11" s="13" t="s">
        <v>1250</v>
      </c>
      <c r="F11" s="13" t="s">
        <v>1266</v>
      </c>
      <c r="G11" s="13" t="s">
        <v>1252</v>
      </c>
      <c r="H11" s="13"/>
      <c r="I11" s="19" t="s">
        <v>1254</v>
      </c>
      <c r="J11" s="11" t="s">
        <v>1267</v>
      </c>
      <c r="K11" s="13" t="s">
        <v>1256</v>
      </c>
      <c r="L11" s="20"/>
      <c r="M11" s="16"/>
      <c r="N11" s="16" t="s">
        <v>95</v>
      </c>
    </row>
    <row r="12" customFormat="false" ht="46.25" hidden="false" customHeight="false" outlineLevel="0" collapsed="false">
      <c r="A12" s="11" t="n">
        <v>8</v>
      </c>
      <c r="B12" s="12" t="s">
        <v>270</v>
      </c>
      <c r="C12" s="13" t="s">
        <v>1268</v>
      </c>
      <c r="D12" s="11" t="s">
        <v>91</v>
      </c>
      <c r="E12" s="13" t="s">
        <v>1250</v>
      </c>
      <c r="F12" s="13" t="s">
        <v>1266</v>
      </c>
      <c r="G12" s="13" t="s">
        <v>1252</v>
      </c>
      <c r="H12" s="13"/>
      <c r="I12" s="19" t="s">
        <v>1254</v>
      </c>
      <c r="J12" s="11" t="s">
        <v>1267</v>
      </c>
      <c r="K12" s="13" t="s">
        <v>1256</v>
      </c>
      <c r="L12" s="20"/>
      <c r="M12" s="16"/>
      <c r="N12" s="16" t="s">
        <v>95</v>
      </c>
    </row>
    <row r="13" customFormat="false" ht="35.05" hidden="false" customHeight="false" outlineLevel="0" collapsed="false">
      <c r="A13" s="11" t="n">
        <v>9</v>
      </c>
      <c r="B13" s="12" t="s">
        <v>278</v>
      </c>
      <c r="C13" s="13" t="s">
        <v>1269</v>
      </c>
      <c r="D13" s="11" t="s">
        <v>91</v>
      </c>
      <c r="E13" s="13" t="s">
        <v>1250</v>
      </c>
      <c r="F13" s="13" t="s">
        <v>1270</v>
      </c>
      <c r="G13" s="13" t="s">
        <v>1252</v>
      </c>
      <c r="H13" s="13"/>
      <c r="I13" s="19" t="s">
        <v>1254</v>
      </c>
      <c r="J13" s="11" t="s">
        <v>1267</v>
      </c>
      <c r="K13" s="13" t="s">
        <v>1256</v>
      </c>
      <c r="L13" s="20"/>
      <c r="M13" s="16"/>
      <c r="N13" s="16" t="s">
        <v>95</v>
      </c>
    </row>
    <row r="14" customFormat="false" ht="35.05" hidden="false" customHeight="false" outlineLevel="0" collapsed="false">
      <c r="A14" s="11" t="n">
        <v>10</v>
      </c>
      <c r="B14" s="12" t="s">
        <v>284</v>
      </c>
      <c r="C14" s="13" t="s">
        <v>1271</v>
      </c>
      <c r="D14" s="11" t="s">
        <v>91</v>
      </c>
      <c r="E14" s="13" t="s">
        <v>1250</v>
      </c>
      <c r="F14" s="13" t="s">
        <v>1270</v>
      </c>
      <c r="G14" s="13" t="s">
        <v>1252</v>
      </c>
      <c r="H14" s="13"/>
      <c r="I14" s="19" t="s">
        <v>1254</v>
      </c>
      <c r="J14" s="11" t="s">
        <v>1267</v>
      </c>
      <c r="K14" s="13" t="s">
        <v>1256</v>
      </c>
      <c r="L14" s="20"/>
      <c r="M14" s="16"/>
      <c r="N14" s="16" t="s">
        <v>95</v>
      </c>
    </row>
    <row r="15" customFormat="false" ht="35.05" hidden="false" customHeight="false" outlineLevel="0" collapsed="false">
      <c r="A15" s="11" t="n">
        <v>11</v>
      </c>
      <c r="B15" s="12" t="s">
        <v>290</v>
      </c>
      <c r="C15" s="13" t="s">
        <v>1272</v>
      </c>
      <c r="D15" s="11" t="s">
        <v>91</v>
      </c>
      <c r="E15" s="13" t="s">
        <v>1250</v>
      </c>
      <c r="F15" s="13" t="s">
        <v>1270</v>
      </c>
      <c r="G15" s="13" t="s">
        <v>1252</v>
      </c>
      <c r="H15" s="13"/>
      <c r="I15" s="19" t="s">
        <v>1254</v>
      </c>
      <c r="J15" s="11" t="s">
        <v>1267</v>
      </c>
      <c r="K15" s="13" t="s">
        <v>1256</v>
      </c>
      <c r="L15" s="20"/>
      <c r="M15" s="16"/>
      <c r="N15" s="16" t="s">
        <v>95</v>
      </c>
    </row>
    <row r="16" customFormat="false" ht="35.05" hidden="false" customHeight="false" outlineLevel="0" collapsed="false">
      <c r="A16" s="11" t="n">
        <v>12</v>
      </c>
      <c r="B16" s="12" t="s">
        <v>297</v>
      </c>
      <c r="C16" s="13" t="s">
        <v>297</v>
      </c>
      <c r="D16" s="11" t="s">
        <v>91</v>
      </c>
      <c r="E16" s="13" t="s">
        <v>1250</v>
      </c>
      <c r="F16" s="13" t="s">
        <v>1270</v>
      </c>
      <c r="G16" s="13" t="s">
        <v>1252</v>
      </c>
      <c r="H16" s="13"/>
      <c r="I16" s="19" t="s">
        <v>1254</v>
      </c>
      <c r="J16" s="11" t="s">
        <v>1273</v>
      </c>
      <c r="K16" s="13" t="s">
        <v>1262</v>
      </c>
      <c r="L16" s="20"/>
      <c r="M16" s="16"/>
      <c r="N16" s="16" t="s">
        <v>95</v>
      </c>
    </row>
    <row r="17" customFormat="false" ht="46.25" hidden="false" customHeight="false" outlineLevel="0" collapsed="false">
      <c r="A17" s="11" t="n">
        <v>13</v>
      </c>
      <c r="B17" s="12" t="s">
        <v>303</v>
      </c>
      <c r="C17" s="13" t="s">
        <v>1274</v>
      </c>
      <c r="D17" s="11" t="s">
        <v>91</v>
      </c>
      <c r="E17" s="13" t="s">
        <v>1250</v>
      </c>
      <c r="F17" s="13" t="s">
        <v>1275</v>
      </c>
      <c r="G17" s="13" t="s">
        <v>1252</v>
      </c>
      <c r="H17" s="13"/>
      <c r="I17" s="19" t="s">
        <v>1254</v>
      </c>
      <c r="J17" s="11" t="s">
        <v>1267</v>
      </c>
      <c r="K17" s="13" t="s">
        <v>1256</v>
      </c>
      <c r="L17" s="20"/>
      <c r="M17" s="16"/>
      <c r="N17" s="16" t="s">
        <v>95</v>
      </c>
    </row>
    <row r="18" customFormat="false" ht="46.25" hidden="false" customHeight="false" outlineLevel="0" collapsed="false">
      <c r="A18" s="11" t="n">
        <v>14</v>
      </c>
      <c r="B18" s="12" t="s">
        <v>310</v>
      </c>
      <c r="C18" s="13" t="s">
        <v>1276</v>
      </c>
      <c r="D18" s="11" t="s">
        <v>91</v>
      </c>
      <c r="E18" s="13" t="s">
        <v>1250</v>
      </c>
      <c r="F18" s="13" t="s">
        <v>1275</v>
      </c>
      <c r="G18" s="13" t="s">
        <v>1252</v>
      </c>
      <c r="H18" s="13"/>
      <c r="I18" s="19" t="s">
        <v>1254</v>
      </c>
      <c r="J18" s="11" t="s">
        <v>1273</v>
      </c>
      <c r="K18" s="13" t="s">
        <v>1260</v>
      </c>
      <c r="L18" s="20"/>
      <c r="M18" s="16"/>
      <c r="N18" s="16" t="s">
        <v>95</v>
      </c>
    </row>
    <row r="19" customFormat="false" ht="46.25" hidden="false" customHeight="false" outlineLevel="0" collapsed="false">
      <c r="A19" s="11" t="n">
        <v>15</v>
      </c>
      <c r="B19" s="12" t="s">
        <v>392</v>
      </c>
      <c r="C19" s="13" t="s">
        <v>1277</v>
      </c>
      <c r="D19" s="11" t="s">
        <v>91</v>
      </c>
      <c r="E19" s="13" t="s">
        <v>1250</v>
      </c>
      <c r="F19" s="13" t="s">
        <v>1275</v>
      </c>
      <c r="G19" s="13" t="s">
        <v>1252</v>
      </c>
      <c r="H19" s="13"/>
      <c r="I19" s="19" t="s">
        <v>1254</v>
      </c>
      <c r="J19" s="11" t="s">
        <v>1278</v>
      </c>
      <c r="K19" s="13" t="s">
        <v>1256</v>
      </c>
      <c r="L19" s="20"/>
      <c r="M19" s="16"/>
      <c r="N19" s="16" t="s">
        <v>95</v>
      </c>
    </row>
    <row r="20" customFormat="false" ht="46.25" hidden="false" customHeight="false" outlineLevel="0" collapsed="false">
      <c r="A20" s="11" t="n">
        <v>16</v>
      </c>
      <c r="B20" s="12" t="s">
        <v>517</v>
      </c>
      <c r="C20" s="13" t="s">
        <v>1279</v>
      </c>
      <c r="D20" s="11" t="s">
        <v>91</v>
      </c>
      <c r="E20" s="13" t="s">
        <v>1250</v>
      </c>
      <c r="F20" s="13" t="s">
        <v>1275</v>
      </c>
      <c r="G20" s="13" t="s">
        <v>1252</v>
      </c>
      <c r="H20" s="13"/>
      <c r="I20" s="19" t="s">
        <v>1254</v>
      </c>
      <c r="J20" s="11" t="s">
        <v>1278</v>
      </c>
      <c r="K20" s="13" t="s">
        <v>1256</v>
      </c>
      <c r="L20" s="20"/>
      <c r="M20" s="16"/>
      <c r="N20" s="16" t="s">
        <v>95</v>
      </c>
    </row>
    <row r="21" customFormat="false" ht="46.25" hidden="false" customHeight="false" outlineLevel="0" collapsed="false">
      <c r="A21" s="11" t="n">
        <v>17</v>
      </c>
      <c r="B21" s="12" t="s">
        <v>525</v>
      </c>
      <c r="C21" s="13" t="s">
        <v>1280</v>
      </c>
      <c r="D21" s="11" t="s">
        <v>91</v>
      </c>
      <c r="E21" s="13" t="s">
        <v>1250</v>
      </c>
      <c r="F21" s="13" t="s">
        <v>1275</v>
      </c>
      <c r="G21" s="13" t="s">
        <v>1252</v>
      </c>
      <c r="H21" s="13"/>
      <c r="I21" s="19" t="s">
        <v>1254</v>
      </c>
      <c r="J21" s="11" t="s">
        <v>1278</v>
      </c>
      <c r="K21" s="13" t="s">
        <v>1256</v>
      </c>
      <c r="L21" s="20"/>
      <c r="M21" s="16"/>
      <c r="N21" s="16" t="s">
        <v>95</v>
      </c>
    </row>
    <row r="22" customFormat="false" ht="35.05" hidden="false" customHeight="false" outlineLevel="0" collapsed="false">
      <c r="A22" s="11" t="n">
        <v>18</v>
      </c>
      <c r="B22" s="12" t="s">
        <v>540</v>
      </c>
      <c r="C22" s="13" t="s">
        <v>540</v>
      </c>
      <c r="D22" s="11" t="s">
        <v>91</v>
      </c>
      <c r="E22" s="13" t="s">
        <v>1250</v>
      </c>
      <c r="F22" s="13" t="s">
        <v>1270</v>
      </c>
      <c r="G22" s="13" t="s">
        <v>1252</v>
      </c>
      <c r="H22" s="13" t="s">
        <v>1253</v>
      </c>
      <c r="I22" s="19" t="s">
        <v>1254</v>
      </c>
      <c r="J22" s="11" t="s">
        <v>1273</v>
      </c>
      <c r="K22" s="13" t="s">
        <v>1262</v>
      </c>
      <c r="L22" s="20"/>
      <c r="M22" s="16"/>
      <c r="N22" s="16" t="s">
        <v>95</v>
      </c>
    </row>
    <row r="23" customFormat="false" ht="35.05" hidden="false" customHeight="false" outlineLevel="0" collapsed="false">
      <c r="A23" s="11" t="n">
        <v>19</v>
      </c>
      <c r="B23" s="12" t="s">
        <v>687</v>
      </c>
      <c r="C23" s="13" t="s">
        <v>1281</v>
      </c>
      <c r="D23" s="11" t="s">
        <v>91</v>
      </c>
      <c r="E23" s="13" t="s">
        <v>1250</v>
      </c>
      <c r="F23" s="13" t="s">
        <v>1270</v>
      </c>
      <c r="G23" s="13" t="s">
        <v>1252</v>
      </c>
      <c r="H23" s="13"/>
      <c r="I23" s="19" t="s">
        <v>1254</v>
      </c>
      <c r="J23" s="11" t="s">
        <v>1267</v>
      </c>
      <c r="K23" s="13" t="s">
        <v>1256</v>
      </c>
      <c r="L23" s="20"/>
      <c r="M23" s="16"/>
      <c r="N23" s="16" t="s">
        <v>95</v>
      </c>
    </row>
    <row r="24" customFormat="false" ht="46.25" hidden="false" customHeight="false" outlineLevel="0" collapsed="false">
      <c r="A24" s="11" t="n">
        <v>20</v>
      </c>
      <c r="B24" s="12" t="s">
        <v>851</v>
      </c>
      <c r="C24" s="13" t="s">
        <v>1282</v>
      </c>
      <c r="D24" s="11" t="s">
        <v>91</v>
      </c>
      <c r="E24" s="13" t="s">
        <v>1250</v>
      </c>
      <c r="F24" s="13" t="s">
        <v>1283</v>
      </c>
      <c r="G24" s="13" t="s">
        <v>1252</v>
      </c>
      <c r="H24" s="13"/>
      <c r="I24" s="19" t="s">
        <v>1254</v>
      </c>
      <c r="J24" s="11" t="s">
        <v>1278</v>
      </c>
      <c r="K24" s="13" t="s">
        <v>1256</v>
      </c>
      <c r="L24" s="20"/>
      <c r="M24" s="16"/>
      <c r="N24" s="16" t="s">
        <v>95</v>
      </c>
    </row>
    <row r="25" customFormat="false" ht="36.55" hidden="false" customHeight="false" outlineLevel="0" collapsed="false">
      <c r="A25" s="11" t="n">
        <v>21</v>
      </c>
      <c r="B25" s="12" t="s">
        <v>1284</v>
      </c>
      <c r="C25" s="13" t="s">
        <v>1285</v>
      </c>
      <c r="D25" s="11" t="s">
        <v>91</v>
      </c>
      <c r="E25" s="13" t="s">
        <v>1250</v>
      </c>
      <c r="F25" s="13" t="s">
        <v>1270</v>
      </c>
      <c r="G25" s="13" t="s">
        <v>1252</v>
      </c>
      <c r="H25" s="13"/>
      <c r="I25" s="19" t="s">
        <v>1254</v>
      </c>
      <c r="J25" s="11" t="s">
        <v>1286</v>
      </c>
      <c r="K25" s="13" t="s">
        <v>1256</v>
      </c>
      <c r="L25" s="20"/>
      <c r="M25" s="16"/>
      <c r="N25" s="16" t="s">
        <v>95</v>
      </c>
    </row>
    <row r="26" customFormat="false" ht="35.05" hidden="false" customHeight="false" outlineLevel="0" collapsed="false">
      <c r="A26" s="11" t="n">
        <v>22</v>
      </c>
      <c r="B26" s="12" t="s">
        <v>896</v>
      </c>
      <c r="C26" s="13" t="s">
        <v>1287</v>
      </c>
      <c r="D26" s="11" t="s">
        <v>91</v>
      </c>
      <c r="E26" s="13" t="s">
        <v>1250</v>
      </c>
      <c r="F26" s="13" t="s">
        <v>1270</v>
      </c>
      <c r="G26" s="13" t="s">
        <v>1252</v>
      </c>
      <c r="H26" s="13"/>
      <c r="I26" s="19" t="s">
        <v>1254</v>
      </c>
      <c r="J26" s="11" t="s">
        <v>1286</v>
      </c>
      <c r="K26" s="13" t="s">
        <v>1256</v>
      </c>
      <c r="L26" s="20"/>
      <c r="M26" s="16"/>
      <c r="N26" s="16" t="s">
        <v>95</v>
      </c>
    </row>
    <row r="27" customFormat="false" ht="35.05" hidden="false" customHeight="false" outlineLevel="0" collapsed="false">
      <c r="A27" s="11" t="n">
        <v>23</v>
      </c>
      <c r="B27" s="12" t="s">
        <v>902</v>
      </c>
      <c r="C27" s="13" t="s">
        <v>902</v>
      </c>
      <c r="D27" s="11" t="s">
        <v>91</v>
      </c>
      <c r="E27" s="13" t="s">
        <v>1250</v>
      </c>
      <c r="F27" s="13" t="s">
        <v>1270</v>
      </c>
      <c r="G27" s="13" t="s">
        <v>1252</v>
      </c>
      <c r="H27" s="13"/>
      <c r="I27" s="19" t="s">
        <v>1254</v>
      </c>
      <c r="J27" s="11" t="s">
        <v>1288</v>
      </c>
      <c r="K27" s="13" t="s">
        <v>1262</v>
      </c>
      <c r="L27" s="20"/>
      <c r="M27" s="16"/>
      <c r="N27" s="16" t="s">
        <v>95</v>
      </c>
    </row>
    <row r="28" customFormat="false" ht="46.25" hidden="false" customHeight="false" outlineLevel="0" collapsed="false">
      <c r="A28" s="11" t="n">
        <v>24</v>
      </c>
      <c r="B28" s="12" t="s">
        <v>906</v>
      </c>
      <c r="C28" s="13" t="s">
        <v>906</v>
      </c>
      <c r="D28" s="11" t="s">
        <v>91</v>
      </c>
      <c r="E28" s="13" t="s">
        <v>1250</v>
      </c>
      <c r="F28" s="13" t="s">
        <v>1289</v>
      </c>
      <c r="G28" s="13" t="s">
        <v>1252</v>
      </c>
      <c r="H28" s="13"/>
      <c r="I28" s="19" t="s">
        <v>1254</v>
      </c>
      <c r="J28" s="11" t="s">
        <v>1286</v>
      </c>
      <c r="K28" s="13" t="s">
        <v>1256</v>
      </c>
      <c r="L28" s="20"/>
      <c r="M28" s="16"/>
      <c r="N28" s="16" t="s">
        <v>95</v>
      </c>
    </row>
    <row r="29" customFormat="false" ht="46.25" hidden="false" customHeight="false" outlineLevel="0" collapsed="false">
      <c r="A29" s="11" t="n">
        <v>25</v>
      </c>
      <c r="B29" s="12" t="s">
        <v>1016</v>
      </c>
      <c r="C29" s="13" t="s">
        <v>1290</v>
      </c>
      <c r="D29" s="11" t="s">
        <v>91</v>
      </c>
      <c r="E29" s="13" t="s">
        <v>1250</v>
      </c>
      <c r="F29" s="13" t="s">
        <v>1291</v>
      </c>
      <c r="G29" s="13" t="s">
        <v>1252</v>
      </c>
      <c r="H29" s="13"/>
      <c r="I29" s="19" t="s">
        <v>1254</v>
      </c>
      <c r="J29" s="11" t="s">
        <v>1273</v>
      </c>
      <c r="K29" s="13" t="s">
        <v>1262</v>
      </c>
      <c r="L29" s="20"/>
      <c r="M29" s="16"/>
      <c r="N29" s="16" t="s">
        <v>95</v>
      </c>
    </row>
    <row r="30" customFormat="false" ht="35.05" hidden="false" customHeight="false" outlineLevel="0" collapsed="false">
      <c r="A30" s="11" t="n">
        <v>26</v>
      </c>
      <c r="B30" s="12" t="s">
        <v>1022</v>
      </c>
      <c r="C30" s="13" t="s">
        <v>1292</v>
      </c>
      <c r="D30" s="11" t="s">
        <v>91</v>
      </c>
      <c r="E30" s="13" t="s">
        <v>1250</v>
      </c>
      <c r="F30" s="13" t="s">
        <v>1293</v>
      </c>
      <c r="G30" s="13" t="s">
        <v>1252</v>
      </c>
      <c r="H30" s="13"/>
      <c r="I30" s="19" t="s">
        <v>1254</v>
      </c>
      <c r="J30" s="11" t="s">
        <v>1273</v>
      </c>
      <c r="K30" s="13" t="s">
        <v>1262</v>
      </c>
      <c r="L30" s="20"/>
      <c r="M30" s="16"/>
      <c r="N30" s="16" t="s">
        <v>95</v>
      </c>
    </row>
    <row r="31" customFormat="false" ht="46.25" hidden="false" customHeight="false" outlineLevel="0" collapsed="false">
      <c r="A31" s="11" t="n">
        <v>27</v>
      </c>
      <c r="B31" s="12" t="s">
        <v>1075</v>
      </c>
      <c r="C31" s="13" t="s">
        <v>1075</v>
      </c>
      <c r="D31" s="11" t="s">
        <v>91</v>
      </c>
      <c r="E31" s="13" t="s">
        <v>1250</v>
      </c>
      <c r="F31" s="13" t="s">
        <v>1291</v>
      </c>
      <c r="G31" s="13" t="s">
        <v>1252</v>
      </c>
      <c r="H31" s="13"/>
      <c r="I31" s="19" t="s">
        <v>1254</v>
      </c>
      <c r="J31" s="11" t="s">
        <v>1294</v>
      </c>
      <c r="K31" s="13" t="s">
        <v>1262</v>
      </c>
      <c r="L31" s="20"/>
      <c r="M31" s="16"/>
      <c r="N31" s="16" t="s">
        <v>95</v>
      </c>
    </row>
    <row r="32" customFormat="false" ht="46.25" hidden="false" customHeight="false" outlineLevel="0" collapsed="false">
      <c r="A32" s="11" t="n">
        <v>28</v>
      </c>
      <c r="B32" s="12" t="s">
        <v>1081</v>
      </c>
      <c r="C32" s="13" t="s">
        <v>1081</v>
      </c>
      <c r="D32" s="11" t="s">
        <v>91</v>
      </c>
      <c r="E32" s="13" t="s">
        <v>1250</v>
      </c>
      <c r="F32" s="13" t="s">
        <v>1291</v>
      </c>
      <c r="G32" s="13" t="s">
        <v>1252</v>
      </c>
      <c r="H32" s="13"/>
      <c r="I32" s="19" t="s">
        <v>1254</v>
      </c>
      <c r="J32" s="11" t="s">
        <v>1294</v>
      </c>
      <c r="K32" s="13" t="s">
        <v>1262</v>
      </c>
      <c r="L32" s="20"/>
      <c r="M32" s="16"/>
      <c r="N32" s="16" t="s">
        <v>95</v>
      </c>
    </row>
    <row r="33" customFormat="false" ht="35.05" hidden="false" customHeight="false" outlineLevel="0" collapsed="false">
      <c r="A33" s="11" t="n">
        <v>29</v>
      </c>
      <c r="B33" s="12" t="s">
        <v>1085</v>
      </c>
      <c r="C33" s="13" t="s">
        <v>1295</v>
      </c>
      <c r="D33" s="11" t="s">
        <v>91</v>
      </c>
      <c r="E33" s="13" t="s">
        <v>1250</v>
      </c>
      <c r="F33" s="13" t="s">
        <v>1293</v>
      </c>
      <c r="G33" s="13" t="s">
        <v>1252</v>
      </c>
      <c r="H33" s="13"/>
      <c r="I33" s="19" t="s">
        <v>1254</v>
      </c>
      <c r="J33" s="11" t="s">
        <v>1294</v>
      </c>
      <c r="K33" s="13" t="s">
        <v>1262</v>
      </c>
      <c r="L33" s="20"/>
      <c r="M33" s="16"/>
      <c r="N33" s="16" t="s">
        <v>95</v>
      </c>
    </row>
    <row r="34" customFormat="false" ht="46.25" hidden="false" customHeight="false" outlineLevel="0" collapsed="false">
      <c r="A34" s="11" t="n">
        <v>30</v>
      </c>
      <c r="B34" s="12" t="s">
        <v>118</v>
      </c>
      <c r="C34" s="13" t="s">
        <v>1296</v>
      </c>
      <c r="D34" s="11" t="s">
        <v>124</v>
      </c>
      <c r="E34" s="13" t="s">
        <v>1250</v>
      </c>
      <c r="F34" s="13" t="s">
        <v>1258</v>
      </c>
      <c r="G34" s="13" t="s">
        <v>1252</v>
      </c>
      <c r="H34" s="13" t="s">
        <v>1253</v>
      </c>
      <c r="I34" s="19" t="s">
        <v>1254</v>
      </c>
      <c r="J34" s="11" t="s">
        <v>1255</v>
      </c>
      <c r="K34" s="13" t="s">
        <v>1256</v>
      </c>
      <c r="L34" s="20"/>
      <c r="M34" s="16"/>
      <c r="N34" s="16" t="s">
        <v>95</v>
      </c>
    </row>
    <row r="35" customFormat="false" ht="46.25" hidden="false" customHeight="false" outlineLevel="0" collapsed="false">
      <c r="A35" s="11" t="n">
        <v>31</v>
      </c>
      <c r="B35" s="12" t="s">
        <v>126</v>
      </c>
      <c r="C35" s="13" t="s">
        <v>127</v>
      </c>
      <c r="D35" s="11" t="s">
        <v>124</v>
      </c>
      <c r="E35" s="13" t="s">
        <v>1250</v>
      </c>
      <c r="F35" s="13" t="s">
        <v>1251</v>
      </c>
      <c r="G35" s="13" t="s">
        <v>1252</v>
      </c>
      <c r="H35" s="13" t="s">
        <v>1253</v>
      </c>
      <c r="I35" s="19" t="s">
        <v>1254</v>
      </c>
      <c r="J35" s="11" t="s">
        <v>1255</v>
      </c>
      <c r="K35" s="13" t="s">
        <v>1256</v>
      </c>
      <c r="L35" s="20"/>
      <c r="M35" s="16"/>
      <c r="N35" s="16" t="s">
        <v>95</v>
      </c>
    </row>
    <row r="36" customFormat="false" ht="46.25" hidden="false" customHeight="false" outlineLevel="0" collapsed="false">
      <c r="A36" s="11" t="n">
        <v>32</v>
      </c>
      <c r="B36" s="12" t="s">
        <v>134</v>
      </c>
      <c r="C36" s="13" t="s">
        <v>134</v>
      </c>
      <c r="D36" s="11" t="s">
        <v>124</v>
      </c>
      <c r="E36" s="13" t="s">
        <v>1250</v>
      </c>
      <c r="F36" s="13" t="s">
        <v>1258</v>
      </c>
      <c r="G36" s="13" t="s">
        <v>1252</v>
      </c>
      <c r="H36" s="13" t="s">
        <v>1253</v>
      </c>
      <c r="I36" s="19" t="s">
        <v>1254</v>
      </c>
      <c r="J36" s="11" t="s">
        <v>1259</v>
      </c>
      <c r="K36" s="13" t="s">
        <v>1260</v>
      </c>
      <c r="L36" s="20"/>
      <c r="M36" s="16"/>
      <c r="N36" s="16" t="s">
        <v>95</v>
      </c>
    </row>
    <row r="37" customFormat="false" ht="46.25" hidden="false" customHeight="false" outlineLevel="0" collapsed="false">
      <c r="A37" s="11" t="n">
        <v>33</v>
      </c>
      <c r="B37" s="12" t="s">
        <v>140</v>
      </c>
      <c r="C37" s="13" t="s">
        <v>140</v>
      </c>
      <c r="D37" s="11" t="s">
        <v>124</v>
      </c>
      <c r="E37" s="13" t="s">
        <v>1250</v>
      </c>
      <c r="F37" s="13" t="s">
        <v>1261</v>
      </c>
      <c r="G37" s="13" t="s">
        <v>1252</v>
      </c>
      <c r="H37" s="13" t="s">
        <v>1253</v>
      </c>
      <c r="I37" s="19" t="s">
        <v>1254</v>
      </c>
      <c r="J37" s="11" t="s">
        <v>1255</v>
      </c>
      <c r="K37" s="13" t="s">
        <v>1256</v>
      </c>
      <c r="L37" s="20"/>
      <c r="M37" s="16"/>
      <c r="N37" s="16" t="s">
        <v>95</v>
      </c>
    </row>
    <row r="38" customFormat="false" ht="46.25" hidden="false" customHeight="false" outlineLevel="0" collapsed="false">
      <c r="A38" s="11" t="n">
        <v>34</v>
      </c>
      <c r="B38" s="12" t="s">
        <v>219</v>
      </c>
      <c r="C38" s="13" t="s">
        <v>1297</v>
      </c>
      <c r="D38" s="11" t="s">
        <v>124</v>
      </c>
      <c r="E38" s="13" t="s">
        <v>1250</v>
      </c>
      <c r="F38" s="13" t="s">
        <v>1261</v>
      </c>
      <c r="G38" s="13" t="s">
        <v>1252</v>
      </c>
      <c r="H38" s="13"/>
      <c r="I38" s="19" t="s">
        <v>1254</v>
      </c>
      <c r="J38" s="11" t="s">
        <v>1255</v>
      </c>
      <c r="K38" s="13" t="s">
        <v>1256</v>
      </c>
      <c r="L38" s="20"/>
      <c r="M38" s="16"/>
      <c r="N38" s="16" t="s">
        <v>95</v>
      </c>
    </row>
    <row r="39" customFormat="false" ht="46.25" hidden="false" customHeight="false" outlineLevel="0" collapsed="false">
      <c r="A39" s="11" t="n">
        <v>35</v>
      </c>
      <c r="B39" s="12" t="s">
        <v>317</v>
      </c>
      <c r="C39" s="13" t="s">
        <v>1298</v>
      </c>
      <c r="D39" s="11" t="s">
        <v>124</v>
      </c>
      <c r="E39" s="13" t="s">
        <v>1250</v>
      </c>
      <c r="F39" s="13" t="s">
        <v>1264</v>
      </c>
      <c r="G39" s="13" t="s">
        <v>1252</v>
      </c>
      <c r="H39" s="13"/>
      <c r="I39" s="19" t="s">
        <v>1254</v>
      </c>
      <c r="J39" s="11" t="s">
        <v>1267</v>
      </c>
      <c r="K39" s="13" t="s">
        <v>1256</v>
      </c>
      <c r="L39" s="20"/>
      <c r="M39" s="16"/>
      <c r="N39" s="16" t="s">
        <v>95</v>
      </c>
    </row>
    <row r="40" customFormat="false" ht="46.25" hidden="false" customHeight="false" outlineLevel="0" collapsed="false">
      <c r="A40" s="11" t="n">
        <v>36</v>
      </c>
      <c r="B40" s="12" t="s">
        <v>398</v>
      </c>
      <c r="C40" s="13" t="s">
        <v>398</v>
      </c>
      <c r="D40" s="11" t="s">
        <v>124</v>
      </c>
      <c r="E40" s="13" t="s">
        <v>1250</v>
      </c>
      <c r="F40" s="13" t="s">
        <v>1289</v>
      </c>
      <c r="G40" s="13" t="s">
        <v>1252</v>
      </c>
      <c r="H40" s="13"/>
      <c r="I40" s="19" t="s">
        <v>1254</v>
      </c>
      <c r="J40" s="11" t="s">
        <v>1278</v>
      </c>
      <c r="K40" s="13" t="s">
        <v>1256</v>
      </c>
      <c r="L40" s="20"/>
      <c r="M40" s="16"/>
      <c r="N40" s="16" t="s">
        <v>95</v>
      </c>
    </row>
    <row r="41" customFormat="false" ht="46.25" hidden="false" customHeight="false" outlineLevel="0" collapsed="false">
      <c r="A41" s="11" t="n">
        <v>37</v>
      </c>
      <c r="B41" s="12" t="s">
        <v>406</v>
      </c>
      <c r="C41" s="13" t="s">
        <v>406</v>
      </c>
      <c r="D41" s="11" t="s">
        <v>124</v>
      </c>
      <c r="E41" s="13" t="s">
        <v>1250</v>
      </c>
      <c r="F41" s="13" t="s">
        <v>1283</v>
      </c>
      <c r="G41" s="13" t="s">
        <v>1252</v>
      </c>
      <c r="H41" s="13"/>
      <c r="I41" s="19" t="s">
        <v>1254</v>
      </c>
      <c r="J41" s="11" t="s">
        <v>1294</v>
      </c>
      <c r="K41" s="13" t="s">
        <v>1260</v>
      </c>
      <c r="L41" s="20"/>
      <c r="M41" s="16"/>
      <c r="N41" s="16" t="s">
        <v>95</v>
      </c>
    </row>
    <row r="42" customFormat="false" ht="35.05" hidden="false" customHeight="false" outlineLevel="0" collapsed="false">
      <c r="A42" s="11" t="n">
        <v>38</v>
      </c>
      <c r="B42" s="12" t="s">
        <v>545</v>
      </c>
      <c r="C42" s="13" t="s">
        <v>1299</v>
      </c>
      <c r="D42" s="11" t="s">
        <v>124</v>
      </c>
      <c r="E42" s="13" t="s">
        <v>1250</v>
      </c>
      <c r="F42" s="13" t="s">
        <v>1270</v>
      </c>
      <c r="G42" s="13" t="s">
        <v>1252</v>
      </c>
      <c r="H42" s="13" t="s">
        <v>1253</v>
      </c>
      <c r="I42" s="19" t="s">
        <v>1254</v>
      </c>
      <c r="J42" s="11" t="s">
        <v>1267</v>
      </c>
      <c r="K42" s="13" t="s">
        <v>1256</v>
      </c>
      <c r="L42" s="20"/>
      <c r="M42" s="16"/>
      <c r="N42" s="16" t="s">
        <v>95</v>
      </c>
    </row>
    <row r="43" customFormat="false" ht="46.25" hidden="false" customHeight="false" outlineLevel="0" collapsed="false">
      <c r="A43" s="11" t="n">
        <v>39</v>
      </c>
      <c r="B43" s="12" t="s">
        <v>552</v>
      </c>
      <c r="C43" s="13" t="s">
        <v>552</v>
      </c>
      <c r="D43" s="11" t="s">
        <v>124</v>
      </c>
      <c r="E43" s="13" t="s">
        <v>1250</v>
      </c>
      <c r="F43" s="13" t="s">
        <v>1264</v>
      </c>
      <c r="G43" s="13" t="s">
        <v>1252</v>
      </c>
      <c r="H43" s="13" t="s">
        <v>1253</v>
      </c>
      <c r="I43" s="19" t="s">
        <v>1254</v>
      </c>
      <c r="J43" s="11" t="s">
        <v>1267</v>
      </c>
      <c r="K43" s="13" t="s">
        <v>1256</v>
      </c>
      <c r="L43" s="20"/>
      <c r="M43" s="16"/>
      <c r="N43" s="16" t="s">
        <v>95</v>
      </c>
    </row>
    <row r="44" customFormat="false" ht="46.25" hidden="false" customHeight="false" outlineLevel="0" collapsed="false">
      <c r="A44" s="11" t="n">
        <v>40</v>
      </c>
      <c r="B44" s="12" t="s">
        <v>722</v>
      </c>
      <c r="C44" s="13" t="s">
        <v>722</v>
      </c>
      <c r="D44" s="11" t="s">
        <v>124</v>
      </c>
      <c r="E44" s="13" t="s">
        <v>1250</v>
      </c>
      <c r="F44" s="13" t="s">
        <v>1261</v>
      </c>
      <c r="G44" s="13" t="s">
        <v>1252</v>
      </c>
      <c r="H44" s="13"/>
      <c r="I44" s="19" t="s">
        <v>1254</v>
      </c>
      <c r="J44" s="11" t="s">
        <v>1273</v>
      </c>
      <c r="K44" s="13" t="s">
        <v>1260</v>
      </c>
      <c r="L44" s="20"/>
      <c r="M44" s="16"/>
      <c r="N44" s="16" t="s">
        <v>95</v>
      </c>
    </row>
    <row r="45" customFormat="false" ht="46.25" hidden="false" customHeight="false" outlineLevel="0" collapsed="false">
      <c r="A45" s="11" t="n">
        <v>41</v>
      </c>
      <c r="B45" s="12" t="s">
        <v>147</v>
      </c>
      <c r="C45" s="13" t="s">
        <v>147</v>
      </c>
      <c r="D45" s="11" t="s">
        <v>152</v>
      </c>
      <c r="E45" s="13" t="s">
        <v>1300</v>
      </c>
      <c r="F45" s="13" t="s">
        <v>1251</v>
      </c>
      <c r="G45" s="13" t="s">
        <v>1252</v>
      </c>
      <c r="H45" s="13" t="s">
        <v>1253</v>
      </c>
      <c r="I45" s="19" t="s">
        <v>1254</v>
      </c>
      <c r="J45" s="11" t="s">
        <v>1255</v>
      </c>
      <c r="K45" s="13" t="s">
        <v>1256</v>
      </c>
      <c r="L45" s="20"/>
      <c r="M45" s="16"/>
      <c r="N45" s="16" t="s">
        <v>95</v>
      </c>
    </row>
    <row r="46" customFormat="false" ht="46.25" hidden="false" customHeight="false" outlineLevel="0" collapsed="false">
      <c r="A46" s="11" t="n">
        <v>42</v>
      </c>
      <c r="B46" s="12" t="s">
        <v>154</v>
      </c>
      <c r="C46" s="13" t="s">
        <v>155</v>
      </c>
      <c r="D46" s="11" t="s">
        <v>152</v>
      </c>
      <c r="E46" s="13" t="s">
        <v>1300</v>
      </c>
      <c r="F46" s="13" t="s">
        <v>1251</v>
      </c>
      <c r="G46" s="13" t="s">
        <v>1252</v>
      </c>
      <c r="H46" s="13" t="s">
        <v>1253</v>
      </c>
      <c r="I46" s="19" t="s">
        <v>1254</v>
      </c>
      <c r="J46" s="11" t="s">
        <v>1259</v>
      </c>
      <c r="K46" s="13" t="s">
        <v>1260</v>
      </c>
      <c r="L46" s="20"/>
      <c r="M46" s="16"/>
      <c r="N46" s="16" t="s">
        <v>95</v>
      </c>
    </row>
    <row r="47" customFormat="false" ht="35.05" hidden="false" customHeight="false" outlineLevel="0" collapsed="false">
      <c r="A47" s="11" t="n">
        <v>43</v>
      </c>
      <c r="B47" s="12" t="s">
        <v>1301</v>
      </c>
      <c r="C47" s="13" t="s">
        <v>161</v>
      </c>
      <c r="D47" s="11" t="s">
        <v>152</v>
      </c>
      <c r="E47" s="13" t="s">
        <v>1300</v>
      </c>
      <c r="F47" s="13" t="s">
        <v>1302</v>
      </c>
      <c r="G47" s="13" t="s">
        <v>1252</v>
      </c>
      <c r="H47" s="13" t="s">
        <v>1253</v>
      </c>
      <c r="I47" s="19" t="s">
        <v>1254</v>
      </c>
      <c r="J47" s="11" t="s">
        <v>1255</v>
      </c>
      <c r="K47" s="13" t="s">
        <v>1256</v>
      </c>
      <c r="L47" s="20"/>
      <c r="M47" s="16"/>
      <c r="N47" s="16" t="s">
        <v>95</v>
      </c>
    </row>
    <row r="48" customFormat="false" ht="46.25" hidden="false" customHeight="false" outlineLevel="0" collapsed="false">
      <c r="A48" s="11" t="n">
        <v>44</v>
      </c>
      <c r="B48" s="12" t="s">
        <v>1303</v>
      </c>
      <c r="C48" s="13" t="s">
        <v>1304</v>
      </c>
      <c r="D48" s="11" t="s">
        <v>152</v>
      </c>
      <c r="E48" s="13" t="s">
        <v>1300</v>
      </c>
      <c r="F48" s="13" t="s">
        <v>1251</v>
      </c>
      <c r="G48" s="13" t="s">
        <v>1252</v>
      </c>
      <c r="H48" s="13" t="s">
        <v>1253</v>
      </c>
      <c r="I48" s="19" t="s">
        <v>1254</v>
      </c>
      <c r="J48" s="11" t="s">
        <v>1255</v>
      </c>
      <c r="K48" s="13" t="s">
        <v>1256</v>
      </c>
      <c r="L48" s="20"/>
      <c r="M48" s="16"/>
      <c r="N48" s="16" t="s">
        <v>95</v>
      </c>
    </row>
    <row r="49" customFormat="false" ht="46.25" hidden="false" customHeight="false" outlineLevel="0" collapsed="false">
      <c r="A49" s="11" t="n">
        <v>45</v>
      </c>
      <c r="B49" s="12" t="s">
        <v>175</v>
      </c>
      <c r="C49" s="13" t="s">
        <v>175</v>
      </c>
      <c r="D49" s="11" t="s">
        <v>152</v>
      </c>
      <c r="E49" s="13" t="s">
        <v>1300</v>
      </c>
      <c r="F49" s="13" t="s">
        <v>1251</v>
      </c>
      <c r="G49" s="13" t="s">
        <v>1252</v>
      </c>
      <c r="H49" s="13" t="s">
        <v>1253</v>
      </c>
      <c r="I49" s="19" t="s">
        <v>1254</v>
      </c>
      <c r="J49" s="11" t="s">
        <v>1255</v>
      </c>
      <c r="K49" s="13" t="s">
        <v>1256</v>
      </c>
      <c r="L49" s="20"/>
      <c r="M49" s="16"/>
      <c r="N49" s="16" t="s">
        <v>95</v>
      </c>
    </row>
    <row r="50" customFormat="false" ht="46.25" hidden="false" customHeight="false" outlineLevel="0" collapsed="false">
      <c r="A50" s="11" t="n">
        <v>46</v>
      </c>
      <c r="B50" s="12" t="s">
        <v>227</v>
      </c>
      <c r="C50" s="13" t="s">
        <v>1305</v>
      </c>
      <c r="D50" s="11" t="s">
        <v>152</v>
      </c>
      <c r="E50" s="13" t="s">
        <v>1300</v>
      </c>
      <c r="F50" s="13" t="s">
        <v>1275</v>
      </c>
      <c r="G50" s="13" t="s">
        <v>1252</v>
      </c>
      <c r="H50" s="13"/>
      <c r="I50" s="19" t="s">
        <v>1254</v>
      </c>
      <c r="J50" s="11" t="s">
        <v>1255</v>
      </c>
      <c r="K50" s="13" t="s">
        <v>1256</v>
      </c>
      <c r="L50" s="20"/>
      <c r="M50" s="16"/>
      <c r="N50" s="16" t="s">
        <v>95</v>
      </c>
    </row>
    <row r="51" customFormat="false" ht="46.25" hidden="false" customHeight="false" outlineLevel="0" collapsed="false">
      <c r="A51" s="11" t="n">
        <v>47</v>
      </c>
      <c r="B51" s="12" t="s">
        <v>1306</v>
      </c>
      <c r="C51" s="13" t="s">
        <v>1307</v>
      </c>
      <c r="D51" s="11" t="s">
        <v>152</v>
      </c>
      <c r="E51" s="13" t="s">
        <v>1300</v>
      </c>
      <c r="F51" s="13" t="s">
        <v>1261</v>
      </c>
      <c r="G51" s="13" t="s">
        <v>1252</v>
      </c>
      <c r="H51" s="13"/>
      <c r="I51" s="19" t="s">
        <v>1254</v>
      </c>
      <c r="J51" s="11" t="s">
        <v>1255</v>
      </c>
      <c r="K51" s="13" t="s">
        <v>1256</v>
      </c>
      <c r="L51" s="20"/>
      <c r="M51" s="16"/>
      <c r="N51" s="16" t="s">
        <v>95</v>
      </c>
    </row>
    <row r="52" customFormat="false" ht="35.05" hidden="false" customHeight="false" outlineLevel="0" collapsed="false">
      <c r="A52" s="11" t="n">
        <v>48</v>
      </c>
      <c r="B52" s="12" t="s">
        <v>323</v>
      </c>
      <c r="C52" s="13" t="s">
        <v>1308</v>
      </c>
      <c r="D52" s="11" t="s">
        <v>152</v>
      </c>
      <c r="E52" s="13" t="s">
        <v>1300</v>
      </c>
      <c r="F52" s="13" t="s">
        <v>1270</v>
      </c>
      <c r="G52" s="13" t="s">
        <v>1252</v>
      </c>
      <c r="H52" s="13"/>
      <c r="I52" s="19" t="s">
        <v>1254</v>
      </c>
      <c r="J52" s="11" t="s">
        <v>1267</v>
      </c>
      <c r="K52" s="13" t="s">
        <v>1256</v>
      </c>
      <c r="L52" s="20"/>
      <c r="M52" s="16"/>
      <c r="N52" s="16" t="s">
        <v>95</v>
      </c>
    </row>
    <row r="53" customFormat="false" ht="46.25" hidden="false" customHeight="false" outlineLevel="0" collapsed="false">
      <c r="A53" s="11" t="n">
        <v>49</v>
      </c>
      <c r="B53" s="12" t="s">
        <v>330</v>
      </c>
      <c r="C53" s="13" t="s">
        <v>1309</v>
      </c>
      <c r="D53" s="11" t="s">
        <v>152</v>
      </c>
      <c r="E53" s="13" t="s">
        <v>1300</v>
      </c>
      <c r="F53" s="13" t="s">
        <v>1264</v>
      </c>
      <c r="G53" s="13" t="s">
        <v>1252</v>
      </c>
      <c r="H53" s="13"/>
      <c r="I53" s="19" t="s">
        <v>1254</v>
      </c>
      <c r="J53" s="11" t="s">
        <v>1267</v>
      </c>
      <c r="K53" s="13" t="s">
        <v>1256</v>
      </c>
      <c r="L53" s="20"/>
      <c r="M53" s="16"/>
      <c r="N53" s="16" t="s">
        <v>95</v>
      </c>
    </row>
    <row r="54" customFormat="false" ht="46.25" hidden="false" customHeight="false" outlineLevel="0" collapsed="false">
      <c r="A54" s="11" t="n">
        <v>50</v>
      </c>
      <c r="B54" s="12" t="s">
        <v>336</v>
      </c>
      <c r="C54" s="13" t="s">
        <v>1310</v>
      </c>
      <c r="D54" s="11" t="s">
        <v>152</v>
      </c>
      <c r="E54" s="13" t="s">
        <v>1300</v>
      </c>
      <c r="F54" s="13" t="s">
        <v>1311</v>
      </c>
      <c r="G54" s="13" t="s">
        <v>1252</v>
      </c>
      <c r="H54" s="13"/>
      <c r="I54" s="19" t="s">
        <v>1254</v>
      </c>
      <c r="J54" s="11" t="s">
        <v>1267</v>
      </c>
      <c r="K54" s="13" t="s">
        <v>1256</v>
      </c>
      <c r="L54" s="20"/>
      <c r="M54" s="16"/>
      <c r="N54" s="16" t="s">
        <v>95</v>
      </c>
    </row>
    <row r="55" customFormat="false" ht="46.25" hidden="false" customHeight="false" outlineLevel="0" collapsed="false">
      <c r="A55" s="11" t="n">
        <v>51</v>
      </c>
      <c r="B55" s="12" t="s">
        <v>342</v>
      </c>
      <c r="C55" s="13" t="s">
        <v>343</v>
      </c>
      <c r="D55" s="11" t="s">
        <v>152</v>
      </c>
      <c r="E55" s="13" t="s">
        <v>1300</v>
      </c>
      <c r="F55" s="13" t="s">
        <v>1261</v>
      </c>
      <c r="G55" s="13" t="s">
        <v>1252</v>
      </c>
      <c r="H55" s="13"/>
      <c r="I55" s="19" t="s">
        <v>1254</v>
      </c>
      <c r="J55" s="11" t="s">
        <v>1267</v>
      </c>
      <c r="K55" s="13" t="s">
        <v>1256</v>
      </c>
      <c r="L55" s="20"/>
      <c r="M55" s="16"/>
      <c r="N55" s="16" t="s">
        <v>95</v>
      </c>
    </row>
    <row r="56" customFormat="false" ht="46.25" hidden="false" customHeight="false" outlineLevel="0" collapsed="false">
      <c r="A56" s="11" t="n">
        <v>52</v>
      </c>
      <c r="B56" s="12" t="s">
        <v>347</v>
      </c>
      <c r="C56" s="13" t="s">
        <v>1269</v>
      </c>
      <c r="D56" s="11" t="s">
        <v>152</v>
      </c>
      <c r="E56" s="13" t="s">
        <v>1300</v>
      </c>
      <c r="F56" s="13" t="s">
        <v>1251</v>
      </c>
      <c r="G56" s="13" t="s">
        <v>1252</v>
      </c>
      <c r="H56" s="13"/>
      <c r="I56" s="19" t="s">
        <v>1254</v>
      </c>
      <c r="J56" s="11" t="s">
        <v>1267</v>
      </c>
      <c r="K56" s="13" t="s">
        <v>1256</v>
      </c>
      <c r="L56" s="20"/>
      <c r="M56" s="16"/>
      <c r="N56" s="16" t="s">
        <v>95</v>
      </c>
    </row>
    <row r="57" customFormat="false" ht="46.25" hidden="false" customHeight="false" outlineLevel="0" collapsed="false">
      <c r="A57" s="11" t="n">
        <v>53</v>
      </c>
      <c r="B57" s="12" t="s">
        <v>352</v>
      </c>
      <c r="C57" s="13" t="s">
        <v>353</v>
      </c>
      <c r="D57" s="11" t="s">
        <v>152</v>
      </c>
      <c r="E57" s="13" t="s">
        <v>1300</v>
      </c>
      <c r="F57" s="13" t="s">
        <v>1251</v>
      </c>
      <c r="G57" s="13" t="s">
        <v>1252</v>
      </c>
      <c r="H57" s="13"/>
      <c r="I57" s="19" t="s">
        <v>1254</v>
      </c>
      <c r="J57" s="11" t="s">
        <v>1267</v>
      </c>
      <c r="K57" s="13" t="s">
        <v>1256</v>
      </c>
      <c r="L57" s="20"/>
      <c r="M57" s="16"/>
      <c r="N57" s="16" t="s">
        <v>95</v>
      </c>
    </row>
    <row r="58" customFormat="false" ht="35.05" hidden="false" customHeight="false" outlineLevel="0" collapsed="false">
      <c r="A58" s="11" t="n">
        <v>54</v>
      </c>
      <c r="B58" s="12" t="s">
        <v>1312</v>
      </c>
      <c r="C58" s="13" t="s">
        <v>1313</v>
      </c>
      <c r="D58" s="11" t="s">
        <v>152</v>
      </c>
      <c r="E58" s="13" t="s">
        <v>1300</v>
      </c>
      <c r="F58" s="13" t="s">
        <v>1270</v>
      </c>
      <c r="G58" s="13" t="s">
        <v>1252</v>
      </c>
      <c r="H58" s="13"/>
      <c r="I58" s="19" t="s">
        <v>1254</v>
      </c>
      <c r="J58" s="11" t="s">
        <v>1267</v>
      </c>
      <c r="K58" s="13" t="s">
        <v>1256</v>
      </c>
      <c r="L58" s="20"/>
      <c r="M58" s="16"/>
      <c r="N58" s="16" t="s">
        <v>95</v>
      </c>
    </row>
    <row r="59" customFormat="false" ht="35.05" hidden="false" customHeight="false" outlineLevel="0" collapsed="false">
      <c r="A59" s="11" t="n">
        <v>55</v>
      </c>
      <c r="B59" s="12" t="s">
        <v>1314</v>
      </c>
      <c r="C59" s="13" t="s">
        <v>1315</v>
      </c>
      <c r="D59" s="11" t="s">
        <v>152</v>
      </c>
      <c r="E59" s="13" t="s">
        <v>1300</v>
      </c>
      <c r="F59" s="13" t="s">
        <v>1270</v>
      </c>
      <c r="G59" s="13" t="s">
        <v>1252</v>
      </c>
      <c r="H59" s="13"/>
      <c r="I59" s="19" t="s">
        <v>1254</v>
      </c>
      <c r="J59" s="11" t="s">
        <v>1267</v>
      </c>
      <c r="K59" s="13" t="s">
        <v>1256</v>
      </c>
      <c r="L59" s="20"/>
      <c r="M59" s="16"/>
      <c r="N59" s="16" t="s">
        <v>95</v>
      </c>
    </row>
    <row r="60" customFormat="false" ht="46.25" hidden="false" customHeight="false" outlineLevel="0" collapsed="false">
      <c r="A60" s="11" t="n">
        <v>56</v>
      </c>
      <c r="B60" s="12" t="s">
        <v>413</v>
      </c>
      <c r="C60" s="13" t="s">
        <v>413</v>
      </c>
      <c r="D60" s="11" t="s">
        <v>152</v>
      </c>
      <c r="E60" s="13" t="s">
        <v>1300</v>
      </c>
      <c r="F60" s="13" t="s">
        <v>1266</v>
      </c>
      <c r="G60" s="13" t="s">
        <v>1252</v>
      </c>
      <c r="H60" s="13"/>
      <c r="I60" s="19" t="s">
        <v>1254</v>
      </c>
      <c r="J60" s="11" t="s">
        <v>1267</v>
      </c>
      <c r="K60" s="13" t="s">
        <v>1256</v>
      </c>
      <c r="L60" s="20"/>
      <c r="M60" s="16"/>
      <c r="N60" s="16" t="s">
        <v>95</v>
      </c>
    </row>
    <row r="61" customFormat="false" ht="35.05" hidden="false" customHeight="false" outlineLevel="0" collapsed="false">
      <c r="A61" s="11" t="n">
        <v>57</v>
      </c>
      <c r="B61" s="12" t="s">
        <v>420</v>
      </c>
      <c r="C61" s="13" t="s">
        <v>420</v>
      </c>
      <c r="D61" s="11" t="s">
        <v>152</v>
      </c>
      <c r="E61" s="13" t="s">
        <v>1300</v>
      </c>
      <c r="F61" s="13" t="s">
        <v>1270</v>
      </c>
      <c r="G61" s="13" t="s">
        <v>1252</v>
      </c>
      <c r="H61" s="13"/>
      <c r="I61" s="19" t="s">
        <v>1254</v>
      </c>
      <c r="J61" s="11" t="s">
        <v>1267</v>
      </c>
      <c r="K61" s="13" t="s">
        <v>1256</v>
      </c>
      <c r="L61" s="20"/>
      <c r="M61" s="16"/>
      <c r="N61" s="16" t="s">
        <v>95</v>
      </c>
    </row>
    <row r="62" customFormat="false" ht="46.25" hidden="false" customHeight="false" outlineLevel="0" collapsed="false">
      <c r="A62" s="11" t="n">
        <v>58</v>
      </c>
      <c r="B62" s="12" t="s">
        <v>426</v>
      </c>
      <c r="C62" s="13" t="s">
        <v>426</v>
      </c>
      <c r="D62" s="11" t="s">
        <v>152</v>
      </c>
      <c r="E62" s="13" t="s">
        <v>1300</v>
      </c>
      <c r="F62" s="13" t="s">
        <v>1266</v>
      </c>
      <c r="G62" s="13" t="s">
        <v>1252</v>
      </c>
      <c r="H62" s="13"/>
      <c r="I62" s="19" t="s">
        <v>1254</v>
      </c>
      <c r="J62" s="11" t="s">
        <v>1273</v>
      </c>
      <c r="K62" s="13" t="s">
        <v>1260</v>
      </c>
      <c r="L62" s="20"/>
      <c r="M62" s="16"/>
      <c r="N62" s="16" t="s">
        <v>95</v>
      </c>
    </row>
    <row r="63" customFormat="false" ht="46.25" hidden="false" customHeight="false" outlineLevel="0" collapsed="false">
      <c r="A63" s="11" t="n">
        <v>59</v>
      </c>
      <c r="B63" s="12" t="s">
        <v>433</v>
      </c>
      <c r="C63" s="13" t="s">
        <v>433</v>
      </c>
      <c r="D63" s="11" t="s">
        <v>152</v>
      </c>
      <c r="E63" s="13" t="s">
        <v>1300</v>
      </c>
      <c r="F63" s="13" t="s">
        <v>1283</v>
      </c>
      <c r="G63" s="13" t="s">
        <v>1252</v>
      </c>
      <c r="H63" s="13"/>
      <c r="I63" s="19" t="s">
        <v>1254</v>
      </c>
      <c r="J63" s="11" t="s">
        <v>1278</v>
      </c>
      <c r="K63" s="13" t="s">
        <v>1256</v>
      </c>
      <c r="L63" s="20"/>
      <c r="M63" s="16"/>
      <c r="N63" s="16" t="s">
        <v>95</v>
      </c>
    </row>
    <row r="64" customFormat="false" ht="46.25" hidden="false" customHeight="false" outlineLevel="0" collapsed="false">
      <c r="A64" s="11" t="n">
        <v>60</v>
      </c>
      <c r="B64" s="12" t="s">
        <v>439</v>
      </c>
      <c r="C64" s="13" t="s">
        <v>439</v>
      </c>
      <c r="D64" s="11" t="s">
        <v>152</v>
      </c>
      <c r="E64" s="13" t="s">
        <v>1300</v>
      </c>
      <c r="F64" s="13" t="s">
        <v>1289</v>
      </c>
      <c r="G64" s="13" t="s">
        <v>1252</v>
      </c>
      <c r="H64" s="13"/>
      <c r="I64" s="19" t="s">
        <v>1254</v>
      </c>
      <c r="J64" s="11" t="s">
        <v>1294</v>
      </c>
      <c r="K64" s="13" t="s">
        <v>1260</v>
      </c>
      <c r="L64" s="20"/>
      <c r="M64" s="16"/>
      <c r="N64" s="16" t="s">
        <v>95</v>
      </c>
    </row>
    <row r="65" customFormat="false" ht="46.25" hidden="false" customHeight="false" outlineLevel="0" collapsed="false">
      <c r="A65" s="11" t="n">
        <v>61</v>
      </c>
      <c r="B65" s="12" t="s">
        <v>444</v>
      </c>
      <c r="C65" s="13" t="s">
        <v>1316</v>
      </c>
      <c r="D65" s="11" t="s">
        <v>152</v>
      </c>
      <c r="E65" s="13" t="s">
        <v>1300</v>
      </c>
      <c r="F65" s="13" t="s">
        <v>1283</v>
      </c>
      <c r="G65" s="13" t="s">
        <v>1252</v>
      </c>
      <c r="H65" s="13"/>
      <c r="I65" s="19" t="s">
        <v>1254</v>
      </c>
      <c r="J65" s="11" t="s">
        <v>1294</v>
      </c>
      <c r="K65" s="13" t="s">
        <v>1262</v>
      </c>
      <c r="L65" s="20"/>
      <c r="M65" s="16"/>
      <c r="N65" s="16" t="s">
        <v>95</v>
      </c>
    </row>
    <row r="66" customFormat="false" ht="46.25" hidden="false" customHeight="false" outlineLevel="0" collapsed="false">
      <c r="A66" s="11" t="n">
        <v>62</v>
      </c>
      <c r="B66" s="12" t="s">
        <v>452</v>
      </c>
      <c r="C66" s="13" t="s">
        <v>1317</v>
      </c>
      <c r="D66" s="11" t="s">
        <v>152</v>
      </c>
      <c r="E66" s="13" t="s">
        <v>1300</v>
      </c>
      <c r="F66" s="13" t="s">
        <v>1264</v>
      </c>
      <c r="G66" s="13" t="s">
        <v>1252</v>
      </c>
      <c r="H66" s="13"/>
      <c r="I66" s="19" t="s">
        <v>1254</v>
      </c>
      <c r="J66" s="11" t="s">
        <v>1278</v>
      </c>
      <c r="K66" s="13" t="s">
        <v>1256</v>
      </c>
      <c r="L66" s="20"/>
      <c r="M66" s="16"/>
      <c r="N66" s="16" t="s">
        <v>95</v>
      </c>
    </row>
    <row r="67" customFormat="false" ht="46.25" hidden="false" customHeight="false" outlineLevel="0" collapsed="false">
      <c r="A67" s="11" t="n">
        <v>63</v>
      </c>
      <c r="B67" s="12" t="s">
        <v>458</v>
      </c>
      <c r="C67" s="13" t="s">
        <v>1318</v>
      </c>
      <c r="D67" s="11" t="s">
        <v>152</v>
      </c>
      <c r="E67" s="13" t="s">
        <v>1300</v>
      </c>
      <c r="F67" s="13" t="s">
        <v>1283</v>
      </c>
      <c r="G67" s="13" t="s">
        <v>1252</v>
      </c>
      <c r="H67" s="13"/>
      <c r="I67" s="19" t="s">
        <v>1254</v>
      </c>
      <c r="J67" s="11" t="s">
        <v>1278</v>
      </c>
      <c r="K67" s="13" t="s">
        <v>1256</v>
      </c>
      <c r="L67" s="20"/>
      <c r="M67" s="16"/>
      <c r="N67" s="16" t="s">
        <v>95</v>
      </c>
    </row>
    <row r="68" customFormat="false" ht="46.25" hidden="false" customHeight="false" outlineLevel="0" collapsed="false">
      <c r="A68" s="11" t="n">
        <v>64</v>
      </c>
      <c r="B68" s="12" t="s">
        <v>464</v>
      </c>
      <c r="C68" s="13" t="s">
        <v>465</v>
      </c>
      <c r="D68" s="11" t="s">
        <v>152</v>
      </c>
      <c r="E68" s="13" t="s">
        <v>1300</v>
      </c>
      <c r="F68" s="13" t="s">
        <v>1264</v>
      </c>
      <c r="G68" s="13" t="s">
        <v>1252</v>
      </c>
      <c r="H68" s="13"/>
      <c r="I68" s="19" t="s">
        <v>1254</v>
      </c>
      <c r="J68" s="11" t="s">
        <v>1278</v>
      </c>
      <c r="K68" s="13" t="s">
        <v>1256</v>
      </c>
      <c r="L68" s="20"/>
      <c r="M68" s="16"/>
      <c r="N68" s="16" t="s">
        <v>95</v>
      </c>
    </row>
    <row r="69" customFormat="false" ht="46.25" hidden="false" customHeight="false" outlineLevel="0" collapsed="false">
      <c r="A69" s="11" t="n">
        <v>65</v>
      </c>
      <c r="B69" s="12" t="s">
        <v>530</v>
      </c>
      <c r="C69" s="13" t="s">
        <v>531</v>
      </c>
      <c r="D69" s="11" t="s">
        <v>152</v>
      </c>
      <c r="E69" s="13" t="s">
        <v>1300</v>
      </c>
      <c r="F69" s="13" t="s">
        <v>1283</v>
      </c>
      <c r="G69" s="13" t="s">
        <v>1252</v>
      </c>
      <c r="H69" s="13"/>
      <c r="I69" s="19" t="s">
        <v>1254</v>
      </c>
      <c r="J69" s="11" t="s">
        <v>1294</v>
      </c>
      <c r="K69" s="13" t="s">
        <v>1260</v>
      </c>
      <c r="L69" s="20"/>
      <c r="M69" s="16"/>
      <c r="N69" s="16" t="s">
        <v>95</v>
      </c>
    </row>
    <row r="70" customFormat="false" ht="46.25" hidden="false" customHeight="false" outlineLevel="0" collapsed="false">
      <c r="A70" s="11" t="n">
        <v>66</v>
      </c>
      <c r="B70" s="12" t="s">
        <v>1319</v>
      </c>
      <c r="C70" s="13" t="s">
        <v>1320</v>
      </c>
      <c r="D70" s="11" t="s">
        <v>152</v>
      </c>
      <c r="E70" s="13" t="s">
        <v>1300</v>
      </c>
      <c r="F70" s="13" t="s">
        <v>1283</v>
      </c>
      <c r="G70" s="13" t="s">
        <v>1252</v>
      </c>
      <c r="H70" s="13"/>
      <c r="I70" s="19" t="s">
        <v>1254</v>
      </c>
      <c r="J70" s="11" t="s">
        <v>1278</v>
      </c>
      <c r="K70" s="13" t="s">
        <v>1256</v>
      </c>
      <c r="L70" s="20"/>
      <c r="M70" s="16"/>
      <c r="N70" s="16" t="s">
        <v>95</v>
      </c>
    </row>
    <row r="71" customFormat="false" ht="35.05" hidden="false" customHeight="false" outlineLevel="0" collapsed="false">
      <c r="A71" s="11" t="n">
        <v>67</v>
      </c>
      <c r="B71" s="12" t="s">
        <v>1321</v>
      </c>
      <c r="C71" s="13" t="s">
        <v>1322</v>
      </c>
      <c r="D71" s="11" t="s">
        <v>152</v>
      </c>
      <c r="E71" s="13" t="s">
        <v>1300</v>
      </c>
      <c r="F71" s="13" t="s">
        <v>1270</v>
      </c>
      <c r="G71" s="13" t="s">
        <v>1252</v>
      </c>
      <c r="H71" s="13" t="s">
        <v>1253</v>
      </c>
      <c r="I71" s="19" t="s">
        <v>1254</v>
      </c>
      <c r="J71" s="11" t="s">
        <v>1273</v>
      </c>
      <c r="K71" s="13" t="s">
        <v>1260</v>
      </c>
      <c r="L71" s="20"/>
      <c r="M71" s="16"/>
      <c r="N71" s="16" t="s">
        <v>95</v>
      </c>
    </row>
    <row r="72" customFormat="false" ht="35.05" hidden="false" customHeight="false" outlineLevel="0" collapsed="false">
      <c r="A72" s="11" t="n">
        <v>68</v>
      </c>
      <c r="B72" s="12" t="s">
        <v>566</v>
      </c>
      <c r="C72" s="13" t="s">
        <v>567</v>
      </c>
      <c r="D72" s="11" t="s">
        <v>152</v>
      </c>
      <c r="E72" s="13" t="s">
        <v>1300</v>
      </c>
      <c r="F72" s="13" t="s">
        <v>1270</v>
      </c>
      <c r="G72" s="13" t="s">
        <v>1252</v>
      </c>
      <c r="H72" s="13" t="s">
        <v>1253</v>
      </c>
      <c r="I72" s="19" t="s">
        <v>1254</v>
      </c>
      <c r="J72" s="11" t="s">
        <v>1267</v>
      </c>
      <c r="K72" s="13" t="s">
        <v>1256</v>
      </c>
      <c r="L72" s="20"/>
      <c r="M72" s="16"/>
      <c r="N72" s="16" t="s">
        <v>95</v>
      </c>
    </row>
    <row r="73" customFormat="false" ht="35.05" hidden="false" customHeight="false" outlineLevel="0" collapsed="false">
      <c r="A73" s="11" t="n">
        <v>69</v>
      </c>
      <c r="B73" s="12" t="s">
        <v>572</v>
      </c>
      <c r="C73" s="13" t="s">
        <v>573</v>
      </c>
      <c r="D73" s="11" t="s">
        <v>152</v>
      </c>
      <c r="E73" s="13" t="s">
        <v>1300</v>
      </c>
      <c r="F73" s="13" t="s">
        <v>1270</v>
      </c>
      <c r="G73" s="13" t="s">
        <v>1252</v>
      </c>
      <c r="H73" s="13" t="s">
        <v>1253</v>
      </c>
      <c r="I73" s="19" t="s">
        <v>1254</v>
      </c>
      <c r="J73" s="11" t="s">
        <v>1267</v>
      </c>
      <c r="K73" s="13" t="s">
        <v>1256</v>
      </c>
      <c r="L73" s="20"/>
      <c r="M73" s="16"/>
      <c r="N73" s="16" t="s">
        <v>95</v>
      </c>
    </row>
    <row r="74" customFormat="false" ht="35.05" hidden="false" customHeight="false" outlineLevel="0" collapsed="false">
      <c r="A74" s="11" t="n">
        <v>70</v>
      </c>
      <c r="B74" s="12" t="s">
        <v>578</v>
      </c>
      <c r="C74" s="13" t="s">
        <v>578</v>
      </c>
      <c r="D74" s="11" t="s">
        <v>152</v>
      </c>
      <c r="E74" s="13" t="s">
        <v>1300</v>
      </c>
      <c r="F74" s="13" t="s">
        <v>1270</v>
      </c>
      <c r="G74" s="13" t="s">
        <v>1252</v>
      </c>
      <c r="H74" s="13" t="s">
        <v>1253</v>
      </c>
      <c r="I74" s="19" t="s">
        <v>1254</v>
      </c>
      <c r="J74" s="11" t="s">
        <v>1273</v>
      </c>
      <c r="K74" s="13" t="s">
        <v>1260</v>
      </c>
      <c r="L74" s="20"/>
      <c r="M74" s="16"/>
      <c r="N74" s="16" t="s">
        <v>95</v>
      </c>
    </row>
    <row r="75" customFormat="false" ht="35.05" hidden="false" customHeight="false" outlineLevel="0" collapsed="false">
      <c r="A75" s="11" t="n">
        <v>71</v>
      </c>
      <c r="B75" s="12" t="s">
        <v>583</v>
      </c>
      <c r="C75" s="13" t="s">
        <v>583</v>
      </c>
      <c r="D75" s="11" t="s">
        <v>152</v>
      </c>
      <c r="E75" s="13" t="s">
        <v>1300</v>
      </c>
      <c r="F75" s="13" t="s">
        <v>1270</v>
      </c>
      <c r="G75" s="13" t="s">
        <v>1252</v>
      </c>
      <c r="H75" s="13" t="s">
        <v>1253</v>
      </c>
      <c r="I75" s="19" t="s">
        <v>1254</v>
      </c>
      <c r="J75" s="11" t="s">
        <v>1273</v>
      </c>
      <c r="K75" s="13" t="s">
        <v>1262</v>
      </c>
      <c r="L75" s="20"/>
      <c r="M75" s="16"/>
      <c r="N75" s="16" t="s">
        <v>95</v>
      </c>
    </row>
    <row r="76" customFormat="false" ht="46.25" hidden="false" customHeight="false" outlineLevel="0" collapsed="false">
      <c r="A76" s="11" t="n">
        <v>72</v>
      </c>
      <c r="B76" s="12" t="s">
        <v>587</v>
      </c>
      <c r="C76" s="13" t="s">
        <v>587</v>
      </c>
      <c r="D76" s="11" t="s">
        <v>152</v>
      </c>
      <c r="E76" s="13" t="s">
        <v>1300</v>
      </c>
      <c r="F76" s="13" t="s">
        <v>1264</v>
      </c>
      <c r="G76" s="13" t="s">
        <v>1252</v>
      </c>
      <c r="H76" s="13" t="s">
        <v>1253</v>
      </c>
      <c r="I76" s="19" t="s">
        <v>1254</v>
      </c>
      <c r="J76" s="11" t="s">
        <v>1267</v>
      </c>
      <c r="K76" s="13" t="s">
        <v>1256</v>
      </c>
      <c r="L76" s="20"/>
      <c r="M76" s="16"/>
      <c r="N76" s="16" t="s">
        <v>95</v>
      </c>
    </row>
    <row r="77" customFormat="false" ht="46.25" hidden="false" customHeight="false" outlineLevel="0" collapsed="false">
      <c r="A77" s="11" t="n">
        <v>73</v>
      </c>
      <c r="B77" s="12" t="s">
        <v>591</v>
      </c>
      <c r="C77" s="13" t="s">
        <v>591</v>
      </c>
      <c r="D77" s="11" t="s">
        <v>152</v>
      </c>
      <c r="E77" s="13" t="s">
        <v>1300</v>
      </c>
      <c r="F77" s="13" t="s">
        <v>1289</v>
      </c>
      <c r="G77" s="13" t="s">
        <v>1252</v>
      </c>
      <c r="H77" s="13" t="s">
        <v>1253</v>
      </c>
      <c r="I77" s="19" t="s">
        <v>1254</v>
      </c>
      <c r="J77" s="11" t="s">
        <v>1267</v>
      </c>
      <c r="K77" s="13" t="s">
        <v>1256</v>
      </c>
      <c r="L77" s="20"/>
      <c r="M77" s="16"/>
      <c r="N77" s="16" t="s">
        <v>95</v>
      </c>
    </row>
    <row r="78" customFormat="false" ht="46.25" hidden="false" customHeight="false" outlineLevel="0" collapsed="false">
      <c r="A78" s="11" t="n">
        <v>74</v>
      </c>
      <c r="B78" s="12" t="s">
        <v>617</v>
      </c>
      <c r="C78" s="13" t="s">
        <v>617</v>
      </c>
      <c r="D78" s="11" t="s">
        <v>152</v>
      </c>
      <c r="E78" s="13" t="s">
        <v>1300</v>
      </c>
      <c r="F78" s="13" t="s">
        <v>1289</v>
      </c>
      <c r="G78" s="13" t="s">
        <v>1252</v>
      </c>
      <c r="H78" s="13" t="s">
        <v>1253</v>
      </c>
      <c r="I78" s="19" t="s">
        <v>1254</v>
      </c>
      <c r="J78" s="11" t="s">
        <v>1267</v>
      </c>
      <c r="K78" s="13" t="s">
        <v>1256</v>
      </c>
      <c r="L78" s="20"/>
      <c r="M78" s="16"/>
      <c r="N78" s="16" t="s">
        <v>95</v>
      </c>
    </row>
    <row r="79" customFormat="false" ht="46.25" hidden="false" customHeight="false" outlineLevel="0" collapsed="false">
      <c r="A79" s="11" t="n">
        <v>75</v>
      </c>
      <c r="B79" s="12" t="s">
        <v>625</v>
      </c>
      <c r="C79" s="13" t="s">
        <v>625</v>
      </c>
      <c r="D79" s="11" t="s">
        <v>152</v>
      </c>
      <c r="E79" s="13" t="s">
        <v>1300</v>
      </c>
      <c r="F79" s="13" t="s">
        <v>1289</v>
      </c>
      <c r="G79" s="13" t="s">
        <v>1252</v>
      </c>
      <c r="H79" s="13" t="s">
        <v>1253</v>
      </c>
      <c r="I79" s="19" t="s">
        <v>1254</v>
      </c>
      <c r="J79" s="11" t="s">
        <v>1267</v>
      </c>
      <c r="K79" s="13" t="s">
        <v>1256</v>
      </c>
      <c r="L79" s="20"/>
      <c r="M79" s="16"/>
      <c r="N79" s="16" t="s">
        <v>95</v>
      </c>
    </row>
    <row r="80" customFormat="false" ht="35.05" hidden="false" customHeight="false" outlineLevel="0" collapsed="false">
      <c r="A80" s="11" t="n">
        <v>76</v>
      </c>
      <c r="B80" s="12" t="s">
        <v>632</v>
      </c>
      <c r="C80" s="13" t="s">
        <v>632</v>
      </c>
      <c r="D80" s="11" t="s">
        <v>152</v>
      </c>
      <c r="E80" s="13" t="s">
        <v>1300</v>
      </c>
      <c r="F80" s="13" t="s">
        <v>1302</v>
      </c>
      <c r="G80" s="13" t="s">
        <v>1252</v>
      </c>
      <c r="H80" s="13" t="s">
        <v>1253</v>
      </c>
      <c r="I80" s="19" t="s">
        <v>1254</v>
      </c>
      <c r="J80" s="11" t="s">
        <v>1267</v>
      </c>
      <c r="K80" s="13" t="s">
        <v>1256</v>
      </c>
      <c r="L80" s="20"/>
      <c r="M80" s="16"/>
      <c r="N80" s="16" t="s">
        <v>95</v>
      </c>
    </row>
    <row r="81" customFormat="false" ht="35.05" hidden="false" customHeight="false" outlineLevel="0" collapsed="false">
      <c r="A81" s="11" t="n">
        <v>77</v>
      </c>
      <c r="B81" s="12" t="s">
        <v>695</v>
      </c>
      <c r="C81" s="13" t="s">
        <v>1323</v>
      </c>
      <c r="D81" s="11" t="s">
        <v>152</v>
      </c>
      <c r="E81" s="13" t="s">
        <v>1300</v>
      </c>
      <c r="F81" s="13" t="s">
        <v>1270</v>
      </c>
      <c r="G81" s="13" t="s">
        <v>1252</v>
      </c>
      <c r="H81" s="13"/>
      <c r="I81" s="19" t="s">
        <v>1254</v>
      </c>
      <c r="J81" s="11" t="s">
        <v>1267</v>
      </c>
      <c r="K81" s="13" t="s">
        <v>1256</v>
      </c>
      <c r="L81" s="20"/>
      <c r="M81" s="16"/>
      <c r="N81" s="16" t="s">
        <v>95</v>
      </c>
    </row>
    <row r="82" customFormat="false" ht="35.05" hidden="false" customHeight="false" outlineLevel="0" collapsed="false">
      <c r="A82" s="11" t="n">
        <v>78</v>
      </c>
      <c r="B82" s="12" t="s">
        <v>700</v>
      </c>
      <c r="C82" s="13" t="s">
        <v>700</v>
      </c>
      <c r="D82" s="11" t="s">
        <v>152</v>
      </c>
      <c r="E82" s="13" t="s">
        <v>1300</v>
      </c>
      <c r="F82" s="13" t="s">
        <v>1270</v>
      </c>
      <c r="G82" s="13" t="s">
        <v>1252</v>
      </c>
      <c r="H82" s="13"/>
      <c r="I82" s="19" t="s">
        <v>1254</v>
      </c>
      <c r="J82" s="11" t="s">
        <v>1273</v>
      </c>
      <c r="K82" s="13" t="s">
        <v>1260</v>
      </c>
      <c r="L82" s="20"/>
      <c r="M82" s="16"/>
      <c r="N82" s="16" t="s">
        <v>95</v>
      </c>
    </row>
    <row r="83" customFormat="false" ht="35.05" hidden="false" customHeight="false" outlineLevel="0" collapsed="false">
      <c r="A83" s="11" t="n">
        <v>79</v>
      </c>
      <c r="B83" s="12" t="s">
        <v>729</v>
      </c>
      <c r="C83" s="13" t="s">
        <v>1324</v>
      </c>
      <c r="D83" s="11" t="s">
        <v>152</v>
      </c>
      <c r="E83" s="13" t="s">
        <v>1300</v>
      </c>
      <c r="F83" s="13" t="s">
        <v>1270</v>
      </c>
      <c r="G83" s="13" t="s">
        <v>1252</v>
      </c>
      <c r="H83" s="13"/>
      <c r="I83" s="19" t="s">
        <v>1254</v>
      </c>
      <c r="J83" s="11" t="s">
        <v>1267</v>
      </c>
      <c r="K83" s="13" t="s">
        <v>1256</v>
      </c>
      <c r="L83" s="20"/>
      <c r="M83" s="16"/>
      <c r="N83" s="16" t="s">
        <v>95</v>
      </c>
    </row>
    <row r="84" customFormat="false" ht="35.05" hidden="false" customHeight="false" outlineLevel="0" collapsed="false">
      <c r="A84" s="11" t="n">
        <v>80</v>
      </c>
      <c r="B84" s="12" t="s">
        <v>735</v>
      </c>
      <c r="C84" s="13" t="s">
        <v>1325</v>
      </c>
      <c r="D84" s="11" t="s">
        <v>152</v>
      </c>
      <c r="E84" s="13" t="s">
        <v>1300</v>
      </c>
      <c r="F84" s="13" t="s">
        <v>1270</v>
      </c>
      <c r="G84" s="13" t="s">
        <v>1252</v>
      </c>
      <c r="H84" s="13"/>
      <c r="I84" s="19" t="s">
        <v>1254</v>
      </c>
      <c r="J84" s="11" t="s">
        <v>1267</v>
      </c>
      <c r="K84" s="13" t="s">
        <v>1256</v>
      </c>
      <c r="L84" s="20"/>
      <c r="M84" s="16"/>
      <c r="N84" s="16" t="s">
        <v>95</v>
      </c>
    </row>
    <row r="85" customFormat="false" ht="35.05" hidden="false" customHeight="false" outlineLevel="0" collapsed="false">
      <c r="A85" s="11" t="n">
        <v>81</v>
      </c>
      <c r="B85" s="12" t="s">
        <v>741</v>
      </c>
      <c r="C85" s="13" t="s">
        <v>741</v>
      </c>
      <c r="D85" s="11" t="s">
        <v>152</v>
      </c>
      <c r="E85" s="13" t="s">
        <v>1300</v>
      </c>
      <c r="F85" s="13" t="s">
        <v>1270</v>
      </c>
      <c r="G85" s="13" t="s">
        <v>1252</v>
      </c>
      <c r="H85" s="13"/>
      <c r="I85" s="19" t="s">
        <v>1254</v>
      </c>
      <c r="J85" s="11" t="s">
        <v>1273</v>
      </c>
      <c r="K85" s="13" t="s">
        <v>1260</v>
      </c>
      <c r="L85" s="20"/>
      <c r="M85" s="16"/>
      <c r="N85" s="16" t="s">
        <v>95</v>
      </c>
    </row>
    <row r="86" customFormat="false" ht="46.25" hidden="false" customHeight="false" outlineLevel="0" collapsed="false">
      <c r="A86" s="11" t="n">
        <v>82</v>
      </c>
      <c r="B86" s="12" t="s">
        <v>745</v>
      </c>
      <c r="C86" s="13" t="s">
        <v>745</v>
      </c>
      <c r="D86" s="11" t="s">
        <v>152</v>
      </c>
      <c r="E86" s="13" t="s">
        <v>1300</v>
      </c>
      <c r="F86" s="13" t="s">
        <v>1251</v>
      </c>
      <c r="G86" s="13" t="s">
        <v>1252</v>
      </c>
      <c r="H86" s="13"/>
      <c r="I86" s="19" t="s">
        <v>1254</v>
      </c>
      <c r="J86" s="11" t="s">
        <v>1273</v>
      </c>
      <c r="K86" s="13" t="s">
        <v>1260</v>
      </c>
      <c r="L86" s="20"/>
      <c r="M86" s="16"/>
      <c r="N86" s="16" t="s">
        <v>95</v>
      </c>
    </row>
    <row r="87" customFormat="false" ht="46.25" hidden="false" customHeight="false" outlineLevel="0" collapsed="false">
      <c r="A87" s="11" t="n">
        <v>83</v>
      </c>
      <c r="B87" s="12" t="s">
        <v>749</v>
      </c>
      <c r="C87" s="13" t="s">
        <v>749</v>
      </c>
      <c r="D87" s="11" t="s">
        <v>152</v>
      </c>
      <c r="E87" s="13" t="s">
        <v>1300</v>
      </c>
      <c r="F87" s="13" t="s">
        <v>1251</v>
      </c>
      <c r="G87" s="13" t="s">
        <v>1252</v>
      </c>
      <c r="H87" s="13"/>
      <c r="I87" s="19" t="s">
        <v>1254</v>
      </c>
      <c r="J87" s="11" t="s">
        <v>1273</v>
      </c>
      <c r="K87" s="13" t="s">
        <v>1260</v>
      </c>
      <c r="L87" s="20"/>
      <c r="M87" s="16"/>
      <c r="N87" s="16" t="s">
        <v>95</v>
      </c>
    </row>
    <row r="88" customFormat="false" ht="46.25" hidden="false" customHeight="false" outlineLevel="0" collapsed="false">
      <c r="A88" s="11" t="n">
        <v>84</v>
      </c>
      <c r="B88" s="12" t="s">
        <v>785</v>
      </c>
      <c r="C88" s="13" t="s">
        <v>1326</v>
      </c>
      <c r="D88" s="11" t="s">
        <v>152</v>
      </c>
      <c r="E88" s="13" t="s">
        <v>1300</v>
      </c>
      <c r="F88" s="13" t="s">
        <v>1266</v>
      </c>
      <c r="G88" s="13" t="s">
        <v>1252</v>
      </c>
      <c r="H88" s="13"/>
      <c r="I88" s="19" t="s">
        <v>1254</v>
      </c>
      <c r="J88" s="11" t="s">
        <v>1278</v>
      </c>
      <c r="K88" s="13" t="s">
        <v>1256</v>
      </c>
      <c r="L88" s="20"/>
      <c r="M88" s="16"/>
      <c r="N88" s="16" t="s">
        <v>95</v>
      </c>
    </row>
    <row r="89" customFormat="false" ht="46.25" hidden="false" customHeight="false" outlineLevel="0" collapsed="false">
      <c r="A89" s="11" t="n">
        <v>85</v>
      </c>
      <c r="B89" s="12" t="s">
        <v>793</v>
      </c>
      <c r="C89" s="13" t="s">
        <v>1327</v>
      </c>
      <c r="D89" s="11" t="s">
        <v>152</v>
      </c>
      <c r="E89" s="13" t="s">
        <v>1300</v>
      </c>
      <c r="F89" s="13" t="s">
        <v>1266</v>
      </c>
      <c r="G89" s="13" t="s">
        <v>1252</v>
      </c>
      <c r="H89" s="13"/>
      <c r="I89" s="19" t="s">
        <v>1254</v>
      </c>
      <c r="J89" s="11" t="s">
        <v>1278</v>
      </c>
      <c r="K89" s="13" t="s">
        <v>1256</v>
      </c>
      <c r="L89" s="20"/>
      <c r="M89" s="16"/>
      <c r="N89" s="16" t="s">
        <v>95</v>
      </c>
    </row>
    <row r="90" customFormat="false" ht="46.25" hidden="false" customHeight="false" outlineLevel="0" collapsed="false">
      <c r="A90" s="11" t="n">
        <v>86</v>
      </c>
      <c r="B90" s="12" t="s">
        <v>799</v>
      </c>
      <c r="C90" s="13" t="s">
        <v>1328</v>
      </c>
      <c r="D90" s="11" t="s">
        <v>152</v>
      </c>
      <c r="E90" s="13" t="s">
        <v>1300</v>
      </c>
      <c r="F90" s="13" t="s">
        <v>1266</v>
      </c>
      <c r="G90" s="13" t="s">
        <v>1252</v>
      </c>
      <c r="H90" s="13"/>
      <c r="I90" s="19" t="s">
        <v>1254</v>
      </c>
      <c r="J90" s="11" t="s">
        <v>1278</v>
      </c>
      <c r="K90" s="13" t="s">
        <v>1256</v>
      </c>
      <c r="L90" s="20"/>
      <c r="M90" s="16"/>
      <c r="N90" s="16" t="s">
        <v>95</v>
      </c>
    </row>
    <row r="91" customFormat="false" ht="46.25" hidden="false" customHeight="false" outlineLevel="0" collapsed="false">
      <c r="A91" s="11" t="n">
        <v>87</v>
      </c>
      <c r="B91" s="12" t="s">
        <v>803</v>
      </c>
      <c r="C91" s="13" t="s">
        <v>1329</v>
      </c>
      <c r="D91" s="11" t="s">
        <v>152</v>
      </c>
      <c r="E91" s="13" t="s">
        <v>1300</v>
      </c>
      <c r="F91" s="13" t="s">
        <v>1266</v>
      </c>
      <c r="G91" s="13" t="s">
        <v>1252</v>
      </c>
      <c r="H91" s="13"/>
      <c r="I91" s="19" t="s">
        <v>1254</v>
      </c>
      <c r="J91" s="11" t="s">
        <v>1278</v>
      </c>
      <c r="K91" s="13" t="s">
        <v>1256</v>
      </c>
      <c r="L91" s="20"/>
      <c r="M91" s="16"/>
      <c r="N91" s="16" t="s">
        <v>95</v>
      </c>
    </row>
    <row r="92" customFormat="false" ht="35.05" hidden="false" customHeight="false" outlineLevel="0" collapsed="false">
      <c r="A92" s="11" t="n">
        <v>88</v>
      </c>
      <c r="B92" s="12" t="s">
        <v>807</v>
      </c>
      <c r="C92" s="13" t="s">
        <v>1330</v>
      </c>
      <c r="D92" s="11" t="s">
        <v>152</v>
      </c>
      <c r="E92" s="13" t="s">
        <v>1300</v>
      </c>
      <c r="F92" s="13" t="s">
        <v>1270</v>
      </c>
      <c r="G92" s="13" t="s">
        <v>1252</v>
      </c>
      <c r="H92" s="13"/>
      <c r="I92" s="19" t="s">
        <v>1254</v>
      </c>
      <c r="J92" s="11" t="s">
        <v>1278</v>
      </c>
      <c r="K92" s="13" t="s">
        <v>1256</v>
      </c>
      <c r="L92" s="20"/>
      <c r="M92" s="16"/>
      <c r="N92" s="16" t="s">
        <v>95</v>
      </c>
    </row>
    <row r="93" customFormat="false" ht="46.25" hidden="false" customHeight="false" outlineLevel="0" collapsed="false">
      <c r="A93" s="11" t="n">
        <v>89</v>
      </c>
      <c r="B93" s="12" t="s">
        <v>812</v>
      </c>
      <c r="C93" s="13" t="s">
        <v>1331</v>
      </c>
      <c r="D93" s="11" t="s">
        <v>152</v>
      </c>
      <c r="E93" s="13" t="s">
        <v>1300</v>
      </c>
      <c r="F93" s="13" t="s">
        <v>1283</v>
      </c>
      <c r="G93" s="13" t="s">
        <v>1252</v>
      </c>
      <c r="H93" s="13"/>
      <c r="I93" s="19" t="s">
        <v>1254</v>
      </c>
      <c r="J93" s="11" t="s">
        <v>1278</v>
      </c>
      <c r="K93" s="13" t="s">
        <v>1256</v>
      </c>
      <c r="L93" s="20"/>
      <c r="M93" s="16"/>
      <c r="N93" s="16" t="s">
        <v>95</v>
      </c>
    </row>
    <row r="94" customFormat="false" ht="46.25" hidden="false" customHeight="false" outlineLevel="0" collapsed="false">
      <c r="A94" s="11" t="n">
        <v>90</v>
      </c>
      <c r="B94" s="12" t="s">
        <v>818</v>
      </c>
      <c r="C94" s="13" t="s">
        <v>1332</v>
      </c>
      <c r="D94" s="11" t="s">
        <v>152</v>
      </c>
      <c r="E94" s="13" t="s">
        <v>1300</v>
      </c>
      <c r="F94" s="13" t="s">
        <v>1283</v>
      </c>
      <c r="G94" s="13" t="s">
        <v>1252</v>
      </c>
      <c r="H94" s="13"/>
      <c r="I94" s="19" t="s">
        <v>1254</v>
      </c>
      <c r="J94" s="11" t="s">
        <v>1294</v>
      </c>
      <c r="K94" s="13" t="s">
        <v>1260</v>
      </c>
      <c r="L94" s="20"/>
      <c r="M94" s="16"/>
      <c r="N94" s="16" t="s">
        <v>95</v>
      </c>
    </row>
    <row r="95" customFormat="false" ht="46.25" hidden="false" customHeight="false" outlineLevel="0" collapsed="false">
      <c r="A95" s="11" t="n">
        <v>91</v>
      </c>
      <c r="B95" s="12" t="s">
        <v>824</v>
      </c>
      <c r="C95" s="13" t="s">
        <v>1333</v>
      </c>
      <c r="D95" s="11" t="s">
        <v>152</v>
      </c>
      <c r="E95" s="13" t="s">
        <v>1300</v>
      </c>
      <c r="F95" s="13" t="s">
        <v>1283</v>
      </c>
      <c r="G95" s="13" t="s">
        <v>1252</v>
      </c>
      <c r="H95" s="13"/>
      <c r="I95" s="19" t="s">
        <v>1254</v>
      </c>
      <c r="J95" s="11" t="s">
        <v>1278</v>
      </c>
      <c r="K95" s="13" t="s">
        <v>1256</v>
      </c>
      <c r="L95" s="20"/>
      <c r="M95" s="16"/>
      <c r="N95" s="16" t="s">
        <v>95</v>
      </c>
    </row>
    <row r="96" customFormat="false" ht="35.05" hidden="false" customHeight="false" outlineLevel="0" collapsed="false">
      <c r="A96" s="11" t="n">
        <v>92</v>
      </c>
      <c r="B96" s="12" t="s">
        <v>858</v>
      </c>
      <c r="C96" s="13" t="s">
        <v>1334</v>
      </c>
      <c r="D96" s="11" t="s">
        <v>152</v>
      </c>
      <c r="E96" s="13" t="s">
        <v>1300</v>
      </c>
      <c r="F96" s="13" t="s">
        <v>1270</v>
      </c>
      <c r="G96" s="13" t="s">
        <v>1252</v>
      </c>
      <c r="H96" s="13"/>
      <c r="I96" s="19" t="s">
        <v>1254</v>
      </c>
      <c r="J96" s="11" t="s">
        <v>1278</v>
      </c>
      <c r="K96" s="13" t="s">
        <v>1256</v>
      </c>
      <c r="L96" s="20"/>
      <c r="M96" s="16"/>
      <c r="N96" s="16" t="s">
        <v>95</v>
      </c>
    </row>
    <row r="97" customFormat="false" ht="46.25" hidden="false" customHeight="false" outlineLevel="0" collapsed="false">
      <c r="A97" s="11" t="n">
        <v>93</v>
      </c>
      <c r="B97" s="12" t="s">
        <v>863</v>
      </c>
      <c r="C97" s="13" t="s">
        <v>1335</v>
      </c>
      <c r="D97" s="11" t="s">
        <v>152</v>
      </c>
      <c r="E97" s="13" t="s">
        <v>1300</v>
      </c>
      <c r="F97" s="13" t="s">
        <v>1283</v>
      </c>
      <c r="G97" s="13" t="s">
        <v>1252</v>
      </c>
      <c r="H97" s="13"/>
      <c r="I97" s="19" t="s">
        <v>1254</v>
      </c>
      <c r="J97" s="11" t="s">
        <v>1278</v>
      </c>
      <c r="K97" s="13" t="s">
        <v>1256</v>
      </c>
      <c r="L97" s="20"/>
      <c r="M97" s="16"/>
      <c r="N97" s="16" t="s">
        <v>95</v>
      </c>
    </row>
    <row r="98" customFormat="false" ht="35.05" hidden="false" customHeight="false" outlineLevel="0" collapsed="false">
      <c r="A98" s="11" t="n">
        <v>94</v>
      </c>
      <c r="B98" s="12" t="s">
        <v>1336</v>
      </c>
      <c r="C98" s="13" t="s">
        <v>1337</v>
      </c>
      <c r="D98" s="11" t="s">
        <v>152</v>
      </c>
      <c r="E98" s="13" t="s">
        <v>1300</v>
      </c>
      <c r="F98" s="13" t="s">
        <v>1270</v>
      </c>
      <c r="G98" s="13" t="s">
        <v>1252</v>
      </c>
      <c r="H98" s="13"/>
      <c r="I98" s="19" t="s">
        <v>1254</v>
      </c>
      <c r="J98" s="11" t="s">
        <v>1286</v>
      </c>
      <c r="K98" s="13" t="s">
        <v>1256</v>
      </c>
      <c r="L98" s="20"/>
      <c r="M98" s="16"/>
      <c r="N98" s="16" t="s">
        <v>95</v>
      </c>
    </row>
    <row r="99" customFormat="false" ht="35.05" hidden="false" customHeight="false" outlineLevel="0" collapsed="false">
      <c r="A99" s="11" t="n">
        <v>95</v>
      </c>
      <c r="B99" s="12" t="s">
        <v>1338</v>
      </c>
      <c r="C99" s="13" t="s">
        <v>1339</v>
      </c>
      <c r="D99" s="11" t="s">
        <v>152</v>
      </c>
      <c r="E99" s="13" t="s">
        <v>1300</v>
      </c>
      <c r="F99" s="13" t="s">
        <v>1270</v>
      </c>
      <c r="G99" s="13" t="s">
        <v>1252</v>
      </c>
      <c r="H99" s="13"/>
      <c r="I99" s="19" t="s">
        <v>1254</v>
      </c>
      <c r="J99" s="11" t="s">
        <v>1286</v>
      </c>
      <c r="K99" s="13" t="s">
        <v>1256</v>
      </c>
      <c r="L99" s="20"/>
      <c r="M99" s="16"/>
      <c r="N99" s="16" t="s">
        <v>95</v>
      </c>
    </row>
    <row r="100" customFormat="false" ht="35.05" hidden="false" customHeight="false" outlineLevel="0" collapsed="false">
      <c r="A100" s="11" t="n">
        <v>96</v>
      </c>
      <c r="B100" s="12" t="s">
        <v>1340</v>
      </c>
      <c r="C100" s="13" t="s">
        <v>926</v>
      </c>
      <c r="D100" s="11" t="s">
        <v>152</v>
      </c>
      <c r="E100" s="13" t="s">
        <v>1300</v>
      </c>
      <c r="F100" s="13" t="s">
        <v>1270</v>
      </c>
      <c r="G100" s="13" t="s">
        <v>1252</v>
      </c>
      <c r="H100" s="13"/>
      <c r="I100" s="19" t="s">
        <v>1254</v>
      </c>
      <c r="J100" s="11" t="s">
        <v>1288</v>
      </c>
      <c r="K100" s="13" t="s">
        <v>1260</v>
      </c>
      <c r="L100" s="20"/>
      <c r="M100" s="16"/>
      <c r="N100" s="16" t="s">
        <v>95</v>
      </c>
    </row>
    <row r="101" customFormat="false" ht="35.05" hidden="false" customHeight="false" outlineLevel="0" collapsed="false">
      <c r="A101" s="11" t="n">
        <v>97</v>
      </c>
      <c r="B101" s="12" t="s">
        <v>931</v>
      </c>
      <c r="C101" s="13" t="s">
        <v>931</v>
      </c>
      <c r="D101" s="11" t="s">
        <v>152</v>
      </c>
      <c r="E101" s="13" t="s">
        <v>1300</v>
      </c>
      <c r="F101" s="13" t="s">
        <v>1270</v>
      </c>
      <c r="G101" s="13" t="s">
        <v>1252</v>
      </c>
      <c r="H101" s="13"/>
      <c r="I101" s="19" t="s">
        <v>1254</v>
      </c>
      <c r="J101" s="11" t="s">
        <v>1288</v>
      </c>
      <c r="K101" s="13" t="s">
        <v>1262</v>
      </c>
      <c r="L101" s="20"/>
      <c r="M101" s="16"/>
      <c r="N101" s="16" t="s">
        <v>95</v>
      </c>
    </row>
    <row r="102" customFormat="false" ht="46.25" hidden="false" customHeight="false" outlineLevel="0" collapsed="false">
      <c r="A102" s="11" t="n">
        <v>98</v>
      </c>
      <c r="B102" s="12" t="s">
        <v>934</v>
      </c>
      <c r="C102" s="13" t="s">
        <v>1341</v>
      </c>
      <c r="D102" s="11" t="s">
        <v>152</v>
      </c>
      <c r="E102" s="13" t="s">
        <v>1300</v>
      </c>
      <c r="F102" s="13" t="s">
        <v>1251</v>
      </c>
      <c r="G102" s="13" t="s">
        <v>1252</v>
      </c>
      <c r="H102" s="13"/>
      <c r="I102" s="19" t="s">
        <v>1254</v>
      </c>
      <c r="J102" s="11" t="s">
        <v>1288</v>
      </c>
      <c r="K102" s="13" t="s">
        <v>1262</v>
      </c>
      <c r="L102" s="20"/>
      <c r="M102" s="16"/>
      <c r="N102" s="16" t="s">
        <v>95</v>
      </c>
    </row>
    <row r="103" customFormat="false" ht="46.25" hidden="false" customHeight="false" outlineLevel="0" collapsed="false">
      <c r="A103" s="11" t="n">
        <v>99</v>
      </c>
      <c r="B103" s="12" t="s">
        <v>937</v>
      </c>
      <c r="C103" s="13" t="s">
        <v>1342</v>
      </c>
      <c r="D103" s="11" t="s">
        <v>152</v>
      </c>
      <c r="E103" s="13" t="s">
        <v>1300</v>
      </c>
      <c r="F103" s="13" t="s">
        <v>1251</v>
      </c>
      <c r="G103" s="13" t="s">
        <v>1252</v>
      </c>
      <c r="H103" s="13"/>
      <c r="I103" s="19" t="s">
        <v>1254</v>
      </c>
      <c r="J103" s="11" t="s">
        <v>1288</v>
      </c>
      <c r="K103" s="13" t="s">
        <v>1262</v>
      </c>
      <c r="L103" s="20"/>
      <c r="M103" s="16"/>
      <c r="N103" s="16" t="s">
        <v>95</v>
      </c>
    </row>
    <row r="104" customFormat="false" ht="46.25" hidden="false" customHeight="false" outlineLevel="0" collapsed="false">
      <c r="A104" s="11" t="n">
        <v>100</v>
      </c>
      <c r="B104" s="12" t="s">
        <v>939</v>
      </c>
      <c r="C104" s="13" t="s">
        <v>1343</v>
      </c>
      <c r="D104" s="11" t="s">
        <v>152</v>
      </c>
      <c r="E104" s="13" t="s">
        <v>1300</v>
      </c>
      <c r="F104" s="13" t="s">
        <v>1251</v>
      </c>
      <c r="G104" s="13" t="s">
        <v>1252</v>
      </c>
      <c r="H104" s="13"/>
      <c r="I104" s="19" t="s">
        <v>1254</v>
      </c>
      <c r="J104" s="11" t="s">
        <v>1288</v>
      </c>
      <c r="K104" s="13" t="s">
        <v>1262</v>
      </c>
      <c r="L104" s="20"/>
      <c r="M104" s="16"/>
      <c r="N104" s="16" t="s">
        <v>95</v>
      </c>
    </row>
    <row r="105" customFormat="false" ht="46.25" hidden="false" customHeight="false" outlineLevel="0" collapsed="false">
      <c r="A105" s="11" t="n">
        <v>101</v>
      </c>
      <c r="B105" s="12" t="s">
        <v>942</v>
      </c>
      <c r="C105" s="13" t="s">
        <v>1344</v>
      </c>
      <c r="D105" s="11" t="s">
        <v>152</v>
      </c>
      <c r="E105" s="13" t="s">
        <v>1300</v>
      </c>
      <c r="F105" s="13" t="s">
        <v>1251</v>
      </c>
      <c r="G105" s="13" t="s">
        <v>1252</v>
      </c>
      <c r="H105" s="13"/>
      <c r="I105" s="19" t="s">
        <v>1254</v>
      </c>
      <c r="J105" s="11" t="s">
        <v>1288</v>
      </c>
      <c r="K105" s="13" t="s">
        <v>1262</v>
      </c>
      <c r="L105" s="20"/>
      <c r="M105" s="16"/>
      <c r="N105" s="16" t="s">
        <v>95</v>
      </c>
    </row>
    <row r="106" customFormat="false" ht="46.25" hidden="false" customHeight="false" outlineLevel="0" collapsed="false">
      <c r="A106" s="11" t="n">
        <v>102</v>
      </c>
      <c r="B106" s="12" t="s">
        <v>944</v>
      </c>
      <c r="C106" s="13" t="s">
        <v>944</v>
      </c>
      <c r="D106" s="11" t="s">
        <v>152</v>
      </c>
      <c r="E106" s="13" t="s">
        <v>1300</v>
      </c>
      <c r="F106" s="13" t="s">
        <v>1251</v>
      </c>
      <c r="G106" s="13" t="s">
        <v>1252</v>
      </c>
      <c r="H106" s="13"/>
      <c r="I106" s="19" t="s">
        <v>1254</v>
      </c>
      <c r="J106" s="11" t="s">
        <v>1288</v>
      </c>
      <c r="K106" s="13" t="s">
        <v>1262</v>
      </c>
      <c r="L106" s="20"/>
      <c r="M106" s="16"/>
      <c r="N106" s="16" t="s">
        <v>95</v>
      </c>
    </row>
    <row r="107" customFormat="false" ht="46.25" hidden="false" customHeight="false" outlineLevel="0" collapsed="false">
      <c r="A107" s="11" t="n">
        <v>103</v>
      </c>
      <c r="B107" s="12" t="s">
        <v>948</v>
      </c>
      <c r="C107" s="13" t="s">
        <v>1345</v>
      </c>
      <c r="D107" s="11" t="s">
        <v>152</v>
      </c>
      <c r="E107" s="13" t="s">
        <v>1300</v>
      </c>
      <c r="F107" s="13" t="s">
        <v>1251</v>
      </c>
      <c r="G107" s="13" t="s">
        <v>1252</v>
      </c>
      <c r="H107" s="13"/>
      <c r="I107" s="19" t="s">
        <v>1254</v>
      </c>
      <c r="J107" s="11" t="s">
        <v>1288</v>
      </c>
      <c r="K107" s="13" t="s">
        <v>1262</v>
      </c>
      <c r="L107" s="20"/>
      <c r="M107" s="16"/>
      <c r="N107" s="16" t="s">
        <v>95</v>
      </c>
    </row>
    <row r="108" customFormat="false" ht="46.25" hidden="false" customHeight="false" outlineLevel="0" collapsed="false">
      <c r="A108" s="11" t="n">
        <v>104</v>
      </c>
      <c r="B108" s="12" t="s">
        <v>954</v>
      </c>
      <c r="C108" s="13" t="s">
        <v>1346</v>
      </c>
      <c r="D108" s="11" t="s">
        <v>152</v>
      </c>
      <c r="E108" s="13" t="s">
        <v>1300</v>
      </c>
      <c r="F108" s="13" t="s">
        <v>1251</v>
      </c>
      <c r="G108" s="13" t="s">
        <v>1252</v>
      </c>
      <c r="H108" s="13"/>
      <c r="I108" s="19" t="s">
        <v>1254</v>
      </c>
      <c r="J108" s="11" t="s">
        <v>1288</v>
      </c>
      <c r="K108" s="13" t="s">
        <v>1262</v>
      </c>
      <c r="L108" s="20"/>
      <c r="M108" s="16"/>
      <c r="N108" s="16" t="s">
        <v>95</v>
      </c>
    </row>
    <row r="109" customFormat="false" ht="46.25" hidden="false" customHeight="false" outlineLevel="0" collapsed="false">
      <c r="A109" s="11" t="n">
        <v>105</v>
      </c>
      <c r="B109" s="12" t="s">
        <v>956</v>
      </c>
      <c r="C109" s="13" t="s">
        <v>1347</v>
      </c>
      <c r="D109" s="11" t="s">
        <v>152</v>
      </c>
      <c r="E109" s="13" t="s">
        <v>1300</v>
      </c>
      <c r="F109" s="13" t="s">
        <v>1251</v>
      </c>
      <c r="G109" s="13" t="s">
        <v>1252</v>
      </c>
      <c r="H109" s="13"/>
      <c r="I109" s="19" t="s">
        <v>1254</v>
      </c>
      <c r="J109" s="11" t="s">
        <v>1288</v>
      </c>
      <c r="K109" s="13" t="s">
        <v>1262</v>
      </c>
      <c r="L109" s="20"/>
      <c r="M109" s="16"/>
      <c r="N109" s="16" t="s">
        <v>95</v>
      </c>
    </row>
    <row r="110" customFormat="false" ht="46.25" hidden="false" customHeight="false" outlineLevel="0" collapsed="false">
      <c r="A110" s="11" t="n">
        <v>106</v>
      </c>
      <c r="B110" s="12" t="s">
        <v>983</v>
      </c>
      <c r="C110" s="13" t="s">
        <v>1348</v>
      </c>
      <c r="D110" s="11" t="s">
        <v>152</v>
      </c>
      <c r="E110" s="13" t="s">
        <v>1300</v>
      </c>
      <c r="F110" s="13" t="s">
        <v>1258</v>
      </c>
      <c r="G110" s="13" t="s">
        <v>1252</v>
      </c>
      <c r="H110" s="13"/>
      <c r="I110" s="19" t="s">
        <v>1254</v>
      </c>
      <c r="J110" s="11" t="s">
        <v>1349</v>
      </c>
      <c r="K110" s="13" t="s">
        <v>1260</v>
      </c>
      <c r="L110" s="20"/>
      <c r="M110" s="16"/>
      <c r="N110" s="16" t="s">
        <v>95</v>
      </c>
    </row>
    <row r="111" customFormat="false" ht="46.25" hidden="false" customHeight="false" outlineLevel="0" collapsed="false">
      <c r="A111" s="11" t="n">
        <v>107</v>
      </c>
      <c r="B111" s="12" t="s">
        <v>989</v>
      </c>
      <c r="C111" s="13" t="s">
        <v>1350</v>
      </c>
      <c r="D111" s="11" t="s">
        <v>152</v>
      </c>
      <c r="E111" s="13" t="s">
        <v>1300</v>
      </c>
      <c r="F111" s="13" t="s">
        <v>1258</v>
      </c>
      <c r="G111" s="13" t="s">
        <v>1252</v>
      </c>
      <c r="H111" s="13"/>
      <c r="I111" s="19" t="s">
        <v>1254</v>
      </c>
      <c r="J111" s="11" t="s">
        <v>1351</v>
      </c>
      <c r="K111" s="13" t="s">
        <v>1256</v>
      </c>
      <c r="L111" s="20"/>
      <c r="M111" s="16"/>
      <c r="N111" s="16" t="s">
        <v>95</v>
      </c>
    </row>
    <row r="112" customFormat="false" ht="46.25" hidden="false" customHeight="false" outlineLevel="0" collapsed="false">
      <c r="A112" s="11" t="n">
        <v>108</v>
      </c>
      <c r="B112" s="12" t="s">
        <v>994</v>
      </c>
      <c r="C112" s="13" t="s">
        <v>994</v>
      </c>
      <c r="D112" s="11" t="s">
        <v>152</v>
      </c>
      <c r="E112" s="13" t="s">
        <v>1300</v>
      </c>
      <c r="F112" s="13" t="s">
        <v>1352</v>
      </c>
      <c r="G112" s="13" t="s">
        <v>1252</v>
      </c>
      <c r="H112" s="13"/>
      <c r="I112" s="19" t="s">
        <v>1254</v>
      </c>
      <c r="J112" s="11" t="s">
        <v>1349</v>
      </c>
      <c r="K112" s="13" t="s">
        <v>1262</v>
      </c>
      <c r="L112" s="20"/>
      <c r="M112" s="16"/>
      <c r="N112" s="16" t="s">
        <v>95</v>
      </c>
    </row>
    <row r="113" customFormat="false" ht="46.25" hidden="false" customHeight="false" outlineLevel="0" collapsed="false">
      <c r="A113" s="11" t="n">
        <v>109</v>
      </c>
      <c r="B113" s="12" t="s">
        <v>998</v>
      </c>
      <c r="C113" s="13" t="s">
        <v>998</v>
      </c>
      <c r="D113" s="11" t="s">
        <v>152</v>
      </c>
      <c r="E113" s="13" t="s">
        <v>1300</v>
      </c>
      <c r="F113" s="13" t="s">
        <v>1258</v>
      </c>
      <c r="G113" s="13" t="s">
        <v>1252</v>
      </c>
      <c r="H113" s="13"/>
      <c r="I113" s="19" t="s">
        <v>1254</v>
      </c>
      <c r="J113" s="11" t="s">
        <v>1349</v>
      </c>
      <c r="K113" s="13" t="s">
        <v>1262</v>
      </c>
      <c r="L113" s="20"/>
      <c r="M113" s="16"/>
      <c r="N113" s="16" t="s">
        <v>95</v>
      </c>
    </row>
    <row r="114" customFormat="false" ht="35.05" hidden="false" customHeight="false" outlineLevel="0" collapsed="false">
      <c r="A114" s="11" t="n">
        <v>110</v>
      </c>
      <c r="B114" s="12" t="s">
        <v>1002</v>
      </c>
      <c r="C114" s="13" t="s">
        <v>1353</v>
      </c>
      <c r="D114" s="11" t="s">
        <v>152</v>
      </c>
      <c r="E114" s="13" t="s">
        <v>1300</v>
      </c>
      <c r="F114" s="13" t="s">
        <v>1354</v>
      </c>
      <c r="G114" s="13" t="s">
        <v>1252</v>
      </c>
      <c r="H114" s="13"/>
      <c r="I114" s="19" t="s">
        <v>1254</v>
      </c>
      <c r="J114" s="11" t="s">
        <v>1349</v>
      </c>
      <c r="K114" s="13" t="s">
        <v>1262</v>
      </c>
      <c r="L114" s="20"/>
      <c r="M114" s="16"/>
      <c r="N114" s="16" t="s">
        <v>95</v>
      </c>
    </row>
    <row r="115" customFormat="false" ht="35.05" hidden="false" customHeight="false" outlineLevel="0" collapsed="false">
      <c r="A115" s="11" t="n">
        <v>111</v>
      </c>
      <c r="B115" s="12" t="s">
        <v>1025</v>
      </c>
      <c r="C115" s="13" t="s">
        <v>1355</v>
      </c>
      <c r="D115" s="11" t="s">
        <v>152</v>
      </c>
      <c r="E115" s="13" t="s">
        <v>1300</v>
      </c>
      <c r="F115" s="13" t="s">
        <v>1293</v>
      </c>
      <c r="G115" s="13" t="s">
        <v>1252</v>
      </c>
      <c r="H115" s="13"/>
      <c r="I115" s="19" t="s">
        <v>1254</v>
      </c>
      <c r="J115" s="11" t="s">
        <v>1273</v>
      </c>
      <c r="K115" s="13" t="s">
        <v>1262</v>
      </c>
      <c r="L115" s="20"/>
      <c r="M115" s="16"/>
      <c r="N115" s="16" t="s">
        <v>95</v>
      </c>
    </row>
    <row r="116" customFormat="false" ht="35.05" hidden="false" customHeight="false" outlineLevel="0" collapsed="false">
      <c r="A116" s="11" t="n">
        <v>112</v>
      </c>
      <c r="B116" s="12" t="s">
        <v>1028</v>
      </c>
      <c r="C116" s="13" t="s">
        <v>1356</v>
      </c>
      <c r="D116" s="11" t="s">
        <v>152</v>
      </c>
      <c r="E116" s="13" t="s">
        <v>1300</v>
      </c>
      <c r="F116" s="13" t="s">
        <v>1293</v>
      </c>
      <c r="G116" s="13" t="s">
        <v>1252</v>
      </c>
      <c r="H116" s="13"/>
      <c r="I116" s="19" t="s">
        <v>1254</v>
      </c>
      <c r="J116" s="11" t="s">
        <v>1273</v>
      </c>
      <c r="K116" s="13" t="s">
        <v>1262</v>
      </c>
      <c r="L116" s="20"/>
      <c r="M116" s="16"/>
      <c r="N116" s="16" t="s">
        <v>95</v>
      </c>
    </row>
    <row r="117" customFormat="false" ht="35.05" hidden="false" customHeight="false" outlineLevel="0" collapsed="false">
      <c r="A117" s="11" t="n">
        <v>113</v>
      </c>
      <c r="B117" s="12" t="s">
        <v>1031</v>
      </c>
      <c r="C117" s="13" t="s">
        <v>1357</v>
      </c>
      <c r="D117" s="11" t="s">
        <v>152</v>
      </c>
      <c r="E117" s="13" t="s">
        <v>1300</v>
      </c>
      <c r="F117" s="13" t="s">
        <v>1293</v>
      </c>
      <c r="G117" s="13" t="s">
        <v>1252</v>
      </c>
      <c r="H117" s="13"/>
      <c r="I117" s="19" t="s">
        <v>1254</v>
      </c>
      <c r="J117" s="11" t="s">
        <v>1273</v>
      </c>
      <c r="K117" s="13" t="s">
        <v>1262</v>
      </c>
      <c r="L117" s="20"/>
      <c r="M117" s="16"/>
      <c r="N117" s="16" t="s">
        <v>95</v>
      </c>
    </row>
    <row r="118" customFormat="false" ht="46.25" hidden="false" customHeight="false" outlineLevel="0" collapsed="false">
      <c r="A118" s="11" t="n">
        <v>114</v>
      </c>
      <c r="B118" s="12" t="s">
        <v>1034</v>
      </c>
      <c r="C118" s="13" t="s">
        <v>1034</v>
      </c>
      <c r="D118" s="11" t="s">
        <v>152</v>
      </c>
      <c r="E118" s="13" t="s">
        <v>1300</v>
      </c>
      <c r="F118" s="13" t="s">
        <v>1311</v>
      </c>
      <c r="G118" s="13" t="s">
        <v>1252</v>
      </c>
      <c r="H118" s="13"/>
      <c r="I118" s="19" t="s">
        <v>1254</v>
      </c>
      <c r="J118" s="11" t="s">
        <v>1273</v>
      </c>
      <c r="K118" s="13" t="s">
        <v>1262</v>
      </c>
      <c r="L118" s="20"/>
      <c r="M118" s="16"/>
      <c r="N118" s="16" t="s">
        <v>95</v>
      </c>
    </row>
    <row r="119" customFormat="false" ht="46.25" hidden="false" customHeight="false" outlineLevel="0" collapsed="false">
      <c r="A119" s="11" t="n">
        <v>115</v>
      </c>
      <c r="B119" s="12" t="s">
        <v>1040</v>
      </c>
      <c r="C119" s="13" t="s">
        <v>1040</v>
      </c>
      <c r="D119" s="11" t="s">
        <v>152</v>
      </c>
      <c r="E119" s="13" t="s">
        <v>1300</v>
      </c>
      <c r="F119" s="13" t="s">
        <v>1261</v>
      </c>
      <c r="G119" s="13" t="s">
        <v>1252</v>
      </c>
      <c r="H119" s="13"/>
      <c r="I119" s="19" t="s">
        <v>1254</v>
      </c>
      <c r="J119" s="11" t="s">
        <v>1273</v>
      </c>
      <c r="K119" s="13" t="s">
        <v>1262</v>
      </c>
      <c r="L119" s="20"/>
      <c r="M119" s="16"/>
      <c r="N119" s="16" t="s">
        <v>95</v>
      </c>
    </row>
    <row r="120" customFormat="false" ht="46.25" hidden="false" customHeight="false" outlineLevel="0" collapsed="false">
      <c r="A120" s="11" t="n">
        <v>116</v>
      </c>
      <c r="B120" s="12" t="s">
        <v>1045</v>
      </c>
      <c r="C120" s="13" t="s">
        <v>1358</v>
      </c>
      <c r="D120" s="11" t="s">
        <v>152</v>
      </c>
      <c r="E120" s="13" t="s">
        <v>1300</v>
      </c>
      <c r="F120" s="13" t="s">
        <v>1289</v>
      </c>
      <c r="G120" s="13" t="s">
        <v>1252</v>
      </c>
      <c r="H120" s="13"/>
      <c r="I120" s="19" t="s">
        <v>1254</v>
      </c>
      <c r="J120" s="11" t="s">
        <v>1267</v>
      </c>
      <c r="K120" s="13" t="s">
        <v>1256</v>
      </c>
      <c r="L120" s="20"/>
      <c r="M120" s="16"/>
      <c r="N120" s="16" t="s">
        <v>95</v>
      </c>
    </row>
    <row r="121" customFormat="false" ht="46.25" hidden="false" customHeight="false" outlineLevel="0" collapsed="false">
      <c r="A121" s="11" t="n">
        <v>117</v>
      </c>
      <c r="B121" s="12" t="s">
        <v>1052</v>
      </c>
      <c r="C121" s="13" t="s">
        <v>1052</v>
      </c>
      <c r="D121" s="11" t="s">
        <v>152</v>
      </c>
      <c r="E121" s="13" t="s">
        <v>1300</v>
      </c>
      <c r="F121" s="13" t="s">
        <v>1251</v>
      </c>
      <c r="G121" s="13" t="s">
        <v>1252</v>
      </c>
      <c r="H121" s="13"/>
      <c r="I121" s="19" t="s">
        <v>1254</v>
      </c>
      <c r="J121" s="11" t="s">
        <v>1267</v>
      </c>
      <c r="K121" s="13" t="s">
        <v>1256</v>
      </c>
      <c r="L121" s="20"/>
      <c r="M121" s="16"/>
      <c r="N121" s="16" t="s">
        <v>95</v>
      </c>
    </row>
    <row r="122" customFormat="false" ht="46.25" hidden="false" customHeight="false" outlineLevel="0" collapsed="false">
      <c r="A122" s="11" t="n">
        <v>118</v>
      </c>
      <c r="B122" s="12" t="s">
        <v>1090</v>
      </c>
      <c r="C122" s="13" t="s">
        <v>1090</v>
      </c>
      <c r="D122" s="11" t="s">
        <v>152</v>
      </c>
      <c r="E122" s="13" t="s">
        <v>1300</v>
      </c>
      <c r="F122" s="13" t="s">
        <v>1266</v>
      </c>
      <c r="G122" s="13" t="s">
        <v>1252</v>
      </c>
      <c r="H122" s="13"/>
      <c r="I122" s="19" t="s">
        <v>1254</v>
      </c>
      <c r="J122" s="11" t="s">
        <v>1294</v>
      </c>
      <c r="K122" s="13" t="s">
        <v>1262</v>
      </c>
      <c r="L122" s="20"/>
      <c r="M122" s="16"/>
      <c r="N122" s="16" t="s">
        <v>95</v>
      </c>
    </row>
    <row r="123" customFormat="false" ht="46.25" hidden="false" customHeight="false" outlineLevel="0" collapsed="false">
      <c r="A123" s="11" t="n">
        <v>119</v>
      </c>
      <c r="B123" s="12" t="s">
        <v>1094</v>
      </c>
      <c r="C123" s="13" t="s">
        <v>1094</v>
      </c>
      <c r="D123" s="11" t="s">
        <v>152</v>
      </c>
      <c r="E123" s="13" t="s">
        <v>1300</v>
      </c>
      <c r="F123" s="13" t="s">
        <v>1291</v>
      </c>
      <c r="G123" s="13" t="s">
        <v>1252</v>
      </c>
      <c r="H123" s="13"/>
      <c r="I123" s="19" t="s">
        <v>1254</v>
      </c>
      <c r="J123" s="11" t="s">
        <v>1294</v>
      </c>
      <c r="K123" s="13" t="s">
        <v>1262</v>
      </c>
      <c r="L123" s="20"/>
      <c r="M123" s="16"/>
      <c r="N123" s="16" t="s">
        <v>95</v>
      </c>
    </row>
    <row r="124" customFormat="false" ht="35.05" hidden="false" customHeight="false" outlineLevel="0" collapsed="false">
      <c r="A124" s="11" t="n">
        <v>120</v>
      </c>
      <c r="B124" s="12" t="s">
        <v>1099</v>
      </c>
      <c r="C124" s="13" t="s">
        <v>1359</v>
      </c>
      <c r="D124" s="11" t="s">
        <v>152</v>
      </c>
      <c r="E124" s="13" t="s">
        <v>1300</v>
      </c>
      <c r="F124" s="13" t="s">
        <v>1293</v>
      </c>
      <c r="G124" s="13" t="s">
        <v>1252</v>
      </c>
      <c r="H124" s="13"/>
      <c r="I124" s="19" t="s">
        <v>1254</v>
      </c>
      <c r="J124" s="11" t="s">
        <v>1294</v>
      </c>
      <c r="K124" s="13" t="s">
        <v>1262</v>
      </c>
      <c r="L124" s="20"/>
      <c r="M124" s="16"/>
      <c r="N124" s="16" t="s">
        <v>95</v>
      </c>
    </row>
    <row r="125" customFormat="false" ht="35.05" hidden="false" customHeight="false" outlineLevel="0" collapsed="false">
      <c r="A125" s="11" t="n">
        <v>121</v>
      </c>
      <c r="B125" s="12" t="s">
        <v>1104</v>
      </c>
      <c r="C125" s="13" t="s">
        <v>1360</v>
      </c>
      <c r="D125" s="11" t="s">
        <v>152</v>
      </c>
      <c r="E125" s="13" t="s">
        <v>1300</v>
      </c>
      <c r="F125" s="13" t="s">
        <v>1293</v>
      </c>
      <c r="G125" s="13" t="s">
        <v>1252</v>
      </c>
      <c r="H125" s="13"/>
      <c r="I125" s="19" t="s">
        <v>1254</v>
      </c>
      <c r="J125" s="11" t="s">
        <v>1294</v>
      </c>
      <c r="K125" s="13" t="s">
        <v>1260</v>
      </c>
      <c r="L125" s="20"/>
      <c r="M125" s="16"/>
      <c r="N125" s="16" t="s">
        <v>95</v>
      </c>
    </row>
    <row r="126" customFormat="false" ht="46.25" hidden="false" customHeight="false" outlineLevel="0" collapsed="false">
      <c r="A126" s="11" t="n">
        <v>122</v>
      </c>
      <c r="B126" s="12" t="s">
        <v>1109</v>
      </c>
      <c r="C126" s="13" t="s">
        <v>1361</v>
      </c>
      <c r="D126" s="11" t="s">
        <v>152</v>
      </c>
      <c r="E126" s="13" t="s">
        <v>1300</v>
      </c>
      <c r="F126" s="13" t="s">
        <v>1283</v>
      </c>
      <c r="G126" s="13" t="s">
        <v>1252</v>
      </c>
      <c r="H126" s="13"/>
      <c r="I126" s="19" t="s">
        <v>1254</v>
      </c>
      <c r="J126" s="11" t="s">
        <v>1294</v>
      </c>
      <c r="K126" s="13" t="s">
        <v>1262</v>
      </c>
      <c r="L126" s="20"/>
      <c r="M126" s="16"/>
      <c r="N126" s="16" t="s">
        <v>95</v>
      </c>
    </row>
    <row r="127" customFormat="false" ht="46.25" hidden="false" customHeight="false" outlineLevel="0" collapsed="false">
      <c r="A127" s="11" t="n">
        <v>123</v>
      </c>
      <c r="B127" s="12" t="s">
        <v>1113</v>
      </c>
      <c r="C127" s="13" t="s">
        <v>1362</v>
      </c>
      <c r="D127" s="11" t="s">
        <v>152</v>
      </c>
      <c r="E127" s="13" t="s">
        <v>1300</v>
      </c>
      <c r="F127" s="13" t="s">
        <v>1283</v>
      </c>
      <c r="G127" s="13" t="s">
        <v>1252</v>
      </c>
      <c r="H127" s="13"/>
      <c r="I127" s="19" t="s">
        <v>1254</v>
      </c>
      <c r="J127" s="11" t="s">
        <v>1294</v>
      </c>
      <c r="K127" s="13" t="s">
        <v>1262</v>
      </c>
      <c r="L127" s="20"/>
      <c r="M127" s="16"/>
      <c r="N127" s="16" t="s">
        <v>95</v>
      </c>
    </row>
    <row r="128" customFormat="false" ht="46.25" hidden="false" customHeight="false" outlineLevel="0" collapsed="false">
      <c r="A128" s="11" t="n">
        <v>124</v>
      </c>
      <c r="B128" s="12" t="s">
        <v>1116</v>
      </c>
      <c r="C128" s="13" t="s">
        <v>1363</v>
      </c>
      <c r="D128" s="11" t="s">
        <v>152</v>
      </c>
      <c r="E128" s="13" t="s">
        <v>1300</v>
      </c>
      <c r="F128" s="13" t="s">
        <v>1283</v>
      </c>
      <c r="G128" s="13" t="s">
        <v>1252</v>
      </c>
      <c r="H128" s="13"/>
      <c r="I128" s="19" t="s">
        <v>1254</v>
      </c>
      <c r="J128" s="11" t="s">
        <v>1294</v>
      </c>
      <c r="K128" s="13" t="s">
        <v>1262</v>
      </c>
      <c r="L128" s="20"/>
      <c r="M128" s="16"/>
      <c r="N128" s="16" t="s">
        <v>95</v>
      </c>
    </row>
    <row r="129" customFormat="false" ht="46.25" hidden="false" customHeight="false" outlineLevel="0" collapsed="false">
      <c r="A129" s="11" t="n">
        <v>125</v>
      </c>
      <c r="B129" s="12" t="s">
        <v>1122</v>
      </c>
      <c r="C129" s="13" t="s">
        <v>1364</v>
      </c>
      <c r="D129" s="11" t="s">
        <v>152</v>
      </c>
      <c r="E129" s="13" t="s">
        <v>1300</v>
      </c>
      <c r="F129" s="13" t="s">
        <v>1283</v>
      </c>
      <c r="G129" s="13" t="s">
        <v>1252</v>
      </c>
      <c r="H129" s="13"/>
      <c r="I129" s="19" t="s">
        <v>1254</v>
      </c>
      <c r="J129" s="11" t="s">
        <v>1294</v>
      </c>
      <c r="K129" s="13" t="s">
        <v>1262</v>
      </c>
      <c r="L129" s="20"/>
      <c r="M129" s="16"/>
      <c r="N129" s="16" t="s">
        <v>95</v>
      </c>
    </row>
    <row r="130" customFormat="false" ht="46.25" hidden="false" customHeight="false" outlineLevel="0" collapsed="false">
      <c r="A130" s="11" t="n">
        <v>126</v>
      </c>
      <c r="B130" s="12" t="s">
        <v>1124</v>
      </c>
      <c r="C130" s="13" t="s">
        <v>1365</v>
      </c>
      <c r="D130" s="11" t="s">
        <v>152</v>
      </c>
      <c r="E130" s="13" t="s">
        <v>1300</v>
      </c>
      <c r="F130" s="13" t="s">
        <v>1291</v>
      </c>
      <c r="G130" s="13" t="s">
        <v>1252</v>
      </c>
      <c r="H130" s="13"/>
      <c r="I130" s="19" t="s">
        <v>1254</v>
      </c>
      <c r="J130" s="11" t="s">
        <v>1294</v>
      </c>
      <c r="K130" s="13" t="s">
        <v>1262</v>
      </c>
      <c r="L130" s="20"/>
      <c r="M130" s="16"/>
      <c r="N130" s="16" t="s">
        <v>95</v>
      </c>
    </row>
    <row r="131" customFormat="false" ht="46.25" hidden="false" customHeight="false" outlineLevel="0" collapsed="false">
      <c r="A131" s="11" t="n">
        <v>127</v>
      </c>
      <c r="B131" s="12" t="s">
        <v>1128</v>
      </c>
      <c r="C131" s="13" t="s">
        <v>1366</v>
      </c>
      <c r="D131" s="11" t="s">
        <v>152</v>
      </c>
      <c r="E131" s="13" t="s">
        <v>1300</v>
      </c>
      <c r="F131" s="13" t="s">
        <v>1291</v>
      </c>
      <c r="G131" s="13" t="s">
        <v>1252</v>
      </c>
      <c r="H131" s="13"/>
      <c r="I131" s="19" t="s">
        <v>1254</v>
      </c>
      <c r="J131" s="11" t="s">
        <v>1294</v>
      </c>
      <c r="K131" s="13" t="s">
        <v>1262</v>
      </c>
      <c r="L131" s="20"/>
      <c r="M131" s="16"/>
      <c r="N131" s="16" t="s">
        <v>95</v>
      </c>
    </row>
    <row r="132" customFormat="false" ht="46.25" hidden="false" customHeight="false" outlineLevel="0" collapsed="false">
      <c r="A132" s="11" t="n">
        <v>128</v>
      </c>
      <c r="B132" s="12" t="s">
        <v>1129</v>
      </c>
      <c r="C132" s="13" t="s">
        <v>1367</v>
      </c>
      <c r="D132" s="11" t="s">
        <v>152</v>
      </c>
      <c r="E132" s="13" t="s">
        <v>1300</v>
      </c>
      <c r="F132" s="13" t="s">
        <v>1283</v>
      </c>
      <c r="G132" s="13" t="s">
        <v>1252</v>
      </c>
      <c r="H132" s="13"/>
      <c r="I132" s="19" t="s">
        <v>1254</v>
      </c>
      <c r="J132" s="11" t="s">
        <v>1294</v>
      </c>
      <c r="K132" s="13" t="s">
        <v>1262</v>
      </c>
      <c r="L132" s="20"/>
      <c r="M132" s="16"/>
      <c r="N132" s="16" t="s">
        <v>95</v>
      </c>
    </row>
    <row r="133" customFormat="false" ht="46.25" hidden="false" customHeight="false" outlineLevel="0" collapsed="false">
      <c r="A133" s="11" t="n">
        <v>129</v>
      </c>
      <c r="B133" s="12" t="s">
        <v>1132</v>
      </c>
      <c r="C133" s="13" t="s">
        <v>1368</v>
      </c>
      <c r="D133" s="11" t="s">
        <v>152</v>
      </c>
      <c r="E133" s="13" t="s">
        <v>1300</v>
      </c>
      <c r="F133" s="13" t="s">
        <v>1291</v>
      </c>
      <c r="G133" s="13" t="s">
        <v>1252</v>
      </c>
      <c r="H133" s="13"/>
      <c r="I133" s="19" t="s">
        <v>1254</v>
      </c>
      <c r="J133" s="11" t="s">
        <v>1294</v>
      </c>
      <c r="K133" s="13" t="s">
        <v>1262</v>
      </c>
      <c r="L133" s="20"/>
      <c r="M133" s="16"/>
      <c r="N133" s="16" t="s">
        <v>95</v>
      </c>
    </row>
    <row r="134" customFormat="false" ht="46.25" hidden="false" customHeight="false" outlineLevel="0" collapsed="false">
      <c r="A134" s="11" t="n">
        <v>130</v>
      </c>
      <c r="B134" s="12" t="s">
        <v>1135</v>
      </c>
      <c r="C134" s="13" t="s">
        <v>1369</v>
      </c>
      <c r="D134" s="11" t="s">
        <v>152</v>
      </c>
      <c r="E134" s="13" t="s">
        <v>1300</v>
      </c>
      <c r="F134" s="13" t="s">
        <v>1291</v>
      </c>
      <c r="G134" s="13" t="s">
        <v>1252</v>
      </c>
      <c r="H134" s="13"/>
      <c r="I134" s="19" t="s">
        <v>1254</v>
      </c>
      <c r="J134" s="11" t="s">
        <v>1294</v>
      </c>
      <c r="K134" s="13" t="s">
        <v>1262</v>
      </c>
      <c r="L134" s="20"/>
      <c r="M134" s="16"/>
      <c r="N134" s="16" t="s">
        <v>95</v>
      </c>
    </row>
    <row r="135" customFormat="false" ht="46.25" hidden="false" customHeight="false" outlineLevel="0" collapsed="false">
      <c r="A135" s="11" t="n">
        <v>131</v>
      </c>
      <c r="B135" s="12" t="s">
        <v>1138</v>
      </c>
      <c r="C135" s="13" t="s">
        <v>1370</v>
      </c>
      <c r="D135" s="11" t="s">
        <v>152</v>
      </c>
      <c r="E135" s="13" t="s">
        <v>1300</v>
      </c>
      <c r="F135" s="13" t="s">
        <v>1283</v>
      </c>
      <c r="G135" s="13" t="s">
        <v>1252</v>
      </c>
      <c r="H135" s="13"/>
      <c r="I135" s="19" t="s">
        <v>1254</v>
      </c>
      <c r="J135" s="11" t="s">
        <v>1294</v>
      </c>
      <c r="K135" s="13" t="s">
        <v>1262</v>
      </c>
      <c r="L135" s="20"/>
      <c r="M135" s="16"/>
      <c r="N135" s="16" t="s">
        <v>95</v>
      </c>
    </row>
    <row r="136" customFormat="false" ht="46.25" hidden="false" customHeight="false" outlineLevel="0" collapsed="false">
      <c r="A136" s="11" t="n">
        <v>132</v>
      </c>
      <c r="B136" s="12" t="s">
        <v>1142</v>
      </c>
      <c r="C136" s="13" t="s">
        <v>1142</v>
      </c>
      <c r="D136" s="11" t="s">
        <v>152</v>
      </c>
      <c r="E136" s="13" t="s">
        <v>1300</v>
      </c>
      <c r="F136" s="13" t="s">
        <v>1283</v>
      </c>
      <c r="G136" s="13" t="s">
        <v>1252</v>
      </c>
      <c r="H136" s="13"/>
      <c r="I136" s="19" t="s">
        <v>1254</v>
      </c>
      <c r="J136" s="11" t="s">
        <v>1294</v>
      </c>
      <c r="K136" s="13" t="s">
        <v>1262</v>
      </c>
      <c r="L136" s="20"/>
      <c r="M136" s="16"/>
      <c r="N136" s="16" t="s">
        <v>95</v>
      </c>
    </row>
    <row r="137" customFormat="false" ht="35.05" hidden="false" customHeight="false" outlineLevel="0" collapsed="false">
      <c r="A137" s="11" t="n">
        <v>133</v>
      </c>
      <c r="B137" s="12" t="s">
        <v>1171</v>
      </c>
      <c r="C137" s="13" t="s">
        <v>1171</v>
      </c>
      <c r="D137" s="11" t="s">
        <v>152</v>
      </c>
      <c r="E137" s="13" t="s">
        <v>1300</v>
      </c>
      <c r="F137" s="13" t="s">
        <v>1270</v>
      </c>
      <c r="G137" s="13" t="s">
        <v>1252</v>
      </c>
      <c r="H137" s="13"/>
      <c r="I137" s="19" t="s">
        <v>1254</v>
      </c>
      <c r="J137" s="11" t="s">
        <v>1273</v>
      </c>
      <c r="K137" s="13" t="s">
        <v>1262</v>
      </c>
      <c r="L137" s="20"/>
      <c r="M137" s="16"/>
      <c r="N137" s="16" t="s">
        <v>95</v>
      </c>
    </row>
    <row r="138" customFormat="false" ht="46.25" hidden="false" customHeight="false" outlineLevel="0" collapsed="false">
      <c r="A138" s="11" t="n">
        <v>134</v>
      </c>
      <c r="B138" s="12" t="s">
        <v>1371</v>
      </c>
      <c r="C138" s="13" t="s">
        <v>181</v>
      </c>
      <c r="D138" s="11" t="s">
        <v>186</v>
      </c>
      <c r="E138" s="13" t="s">
        <v>1372</v>
      </c>
      <c r="F138" s="13" t="s">
        <v>1251</v>
      </c>
      <c r="G138" s="13" t="s">
        <v>1252</v>
      </c>
      <c r="H138" s="13" t="s">
        <v>1253</v>
      </c>
      <c r="I138" s="19" t="s">
        <v>1254</v>
      </c>
      <c r="J138" s="11" t="s">
        <v>1259</v>
      </c>
      <c r="K138" s="13" t="s">
        <v>1260</v>
      </c>
      <c r="L138" s="20"/>
      <c r="M138" s="16"/>
      <c r="N138" s="16" t="s">
        <v>95</v>
      </c>
    </row>
    <row r="139" customFormat="false" ht="46.25" hidden="false" customHeight="false" outlineLevel="0" collapsed="false">
      <c r="A139" s="11" t="n">
        <v>135</v>
      </c>
      <c r="B139" s="12" t="s">
        <v>470</v>
      </c>
      <c r="C139" s="13" t="s">
        <v>470</v>
      </c>
      <c r="D139" s="11" t="s">
        <v>186</v>
      </c>
      <c r="E139" s="13" t="s">
        <v>1372</v>
      </c>
      <c r="F139" s="13" t="s">
        <v>1283</v>
      </c>
      <c r="G139" s="13" t="s">
        <v>1252</v>
      </c>
      <c r="H139" s="13"/>
      <c r="I139" s="19" t="s">
        <v>1254</v>
      </c>
      <c r="J139" s="11" t="s">
        <v>1278</v>
      </c>
      <c r="K139" s="13" t="s">
        <v>1256</v>
      </c>
      <c r="L139" s="20"/>
      <c r="M139" s="16"/>
      <c r="N139" s="16" t="s">
        <v>95</v>
      </c>
    </row>
    <row r="140" customFormat="false" ht="46.25" hidden="false" customHeight="false" outlineLevel="0" collapsed="false">
      <c r="A140" s="11" t="n">
        <v>136</v>
      </c>
      <c r="B140" s="12" t="s">
        <v>477</v>
      </c>
      <c r="C140" s="13" t="s">
        <v>478</v>
      </c>
      <c r="D140" s="11" t="s">
        <v>186</v>
      </c>
      <c r="E140" s="13" t="s">
        <v>1372</v>
      </c>
      <c r="F140" s="13" t="s">
        <v>1283</v>
      </c>
      <c r="G140" s="13" t="s">
        <v>1252</v>
      </c>
      <c r="H140" s="13"/>
      <c r="I140" s="19" t="s">
        <v>1254</v>
      </c>
      <c r="J140" s="11" t="s">
        <v>1294</v>
      </c>
      <c r="K140" s="13" t="s">
        <v>1262</v>
      </c>
      <c r="L140" s="20"/>
      <c r="M140" s="16"/>
      <c r="N140" s="16" t="s">
        <v>95</v>
      </c>
    </row>
    <row r="141" customFormat="false" ht="46.25" hidden="false" customHeight="false" outlineLevel="0" collapsed="false">
      <c r="A141" s="11" t="n">
        <v>137</v>
      </c>
      <c r="B141" s="12" t="s">
        <v>1373</v>
      </c>
      <c r="C141" s="13" t="s">
        <v>479</v>
      </c>
      <c r="D141" s="11" t="s">
        <v>186</v>
      </c>
      <c r="E141" s="13" t="s">
        <v>1372</v>
      </c>
      <c r="F141" s="13" t="s">
        <v>1289</v>
      </c>
      <c r="G141" s="13" t="s">
        <v>1252</v>
      </c>
      <c r="H141" s="13"/>
      <c r="I141" s="19" t="s">
        <v>1254</v>
      </c>
      <c r="J141" s="11" t="s">
        <v>1278</v>
      </c>
      <c r="K141" s="13" t="s">
        <v>1256</v>
      </c>
      <c r="L141" s="20"/>
      <c r="M141" s="16"/>
      <c r="N141" s="16" t="s">
        <v>95</v>
      </c>
    </row>
    <row r="142" customFormat="false" ht="46.25" hidden="false" customHeight="false" outlineLevel="0" collapsed="false">
      <c r="A142" s="11" t="n">
        <v>138</v>
      </c>
      <c r="B142" s="12" t="s">
        <v>1374</v>
      </c>
      <c r="C142" s="13" t="s">
        <v>485</v>
      </c>
      <c r="D142" s="11" t="s">
        <v>186</v>
      </c>
      <c r="E142" s="13" t="s">
        <v>1372</v>
      </c>
      <c r="F142" s="13" t="s">
        <v>1289</v>
      </c>
      <c r="G142" s="13" t="s">
        <v>1252</v>
      </c>
      <c r="H142" s="13"/>
      <c r="I142" s="19" t="s">
        <v>1254</v>
      </c>
      <c r="J142" s="11" t="s">
        <v>1278</v>
      </c>
      <c r="K142" s="13" t="s">
        <v>1256</v>
      </c>
      <c r="L142" s="20"/>
      <c r="M142" s="16"/>
      <c r="N142" s="16" t="s">
        <v>95</v>
      </c>
    </row>
    <row r="143" customFormat="false" ht="46.25" hidden="false" customHeight="false" outlineLevel="0" collapsed="false">
      <c r="A143" s="11" t="n">
        <v>139</v>
      </c>
      <c r="B143" s="12" t="s">
        <v>1375</v>
      </c>
      <c r="C143" s="13" t="s">
        <v>1376</v>
      </c>
      <c r="D143" s="11" t="s">
        <v>186</v>
      </c>
      <c r="E143" s="13" t="s">
        <v>1372</v>
      </c>
      <c r="F143" s="13" t="s">
        <v>1264</v>
      </c>
      <c r="G143" s="13" t="s">
        <v>1252</v>
      </c>
      <c r="H143" s="13"/>
      <c r="I143" s="19" t="s">
        <v>1254</v>
      </c>
      <c r="J143" s="11" t="s">
        <v>1278</v>
      </c>
      <c r="K143" s="13" t="s">
        <v>1256</v>
      </c>
      <c r="L143" s="20"/>
      <c r="M143" s="16"/>
      <c r="N143" s="16" t="s">
        <v>95</v>
      </c>
    </row>
    <row r="144" customFormat="false" ht="46.25" hidden="false" customHeight="false" outlineLevel="0" collapsed="false">
      <c r="A144" s="11" t="n">
        <v>140</v>
      </c>
      <c r="B144" s="12" t="s">
        <v>1377</v>
      </c>
      <c r="C144" s="13" t="s">
        <v>596</v>
      </c>
      <c r="D144" s="11" t="s">
        <v>186</v>
      </c>
      <c r="E144" s="13" t="s">
        <v>1372</v>
      </c>
      <c r="F144" s="13" t="s">
        <v>1264</v>
      </c>
      <c r="G144" s="13" t="s">
        <v>1252</v>
      </c>
      <c r="H144" s="13" t="s">
        <v>1253</v>
      </c>
      <c r="I144" s="19" t="s">
        <v>1254</v>
      </c>
      <c r="J144" s="11" t="s">
        <v>1273</v>
      </c>
      <c r="K144" s="13" t="s">
        <v>1260</v>
      </c>
      <c r="L144" s="20"/>
      <c r="M144" s="16"/>
      <c r="N144" s="16" t="s">
        <v>95</v>
      </c>
    </row>
    <row r="145" customFormat="false" ht="46.25" hidden="false" customHeight="false" outlineLevel="0" collapsed="false">
      <c r="A145" s="11" t="n">
        <v>141</v>
      </c>
      <c r="B145" s="12" t="s">
        <v>600</v>
      </c>
      <c r="C145" s="13" t="s">
        <v>600</v>
      </c>
      <c r="D145" s="11" t="s">
        <v>186</v>
      </c>
      <c r="E145" s="13" t="s">
        <v>1372</v>
      </c>
      <c r="F145" s="13" t="s">
        <v>1264</v>
      </c>
      <c r="G145" s="13" t="s">
        <v>1252</v>
      </c>
      <c r="H145" s="13" t="s">
        <v>1253</v>
      </c>
      <c r="I145" s="19" t="s">
        <v>1254</v>
      </c>
      <c r="J145" s="11" t="s">
        <v>1273</v>
      </c>
      <c r="K145" s="13" t="s">
        <v>1262</v>
      </c>
      <c r="L145" s="20"/>
      <c r="M145" s="16"/>
      <c r="N145" s="16" t="s">
        <v>95</v>
      </c>
    </row>
    <row r="146" customFormat="false" ht="46.25" hidden="false" customHeight="false" outlineLevel="0" collapsed="false">
      <c r="A146" s="11" t="n">
        <v>142</v>
      </c>
      <c r="B146" s="12" t="s">
        <v>605</v>
      </c>
      <c r="C146" s="13" t="s">
        <v>605</v>
      </c>
      <c r="D146" s="11" t="s">
        <v>186</v>
      </c>
      <c r="E146" s="13" t="s">
        <v>1372</v>
      </c>
      <c r="F146" s="13" t="s">
        <v>1258</v>
      </c>
      <c r="G146" s="13" t="s">
        <v>1252</v>
      </c>
      <c r="H146" s="13" t="s">
        <v>1253</v>
      </c>
      <c r="I146" s="19" t="s">
        <v>1254</v>
      </c>
      <c r="J146" s="11" t="s">
        <v>1267</v>
      </c>
      <c r="K146" s="13" t="s">
        <v>1256</v>
      </c>
      <c r="L146" s="20"/>
      <c r="M146" s="16"/>
      <c r="N146" s="16" t="s">
        <v>95</v>
      </c>
    </row>
    <row r="147" customFormat="false" ht="35.05" hidden="false" customHeight="false" outlineLevel="0" collapsed="false">
      <c r="A147" s="11" t="n">
        <v>143</v>
      </c>
      <c r="B147" s="12" t="s">
        <v>1378</v>
      </c>
      <c r="C147" s="13" t="s">
        <v>638</v>
      </c>
      <c r="D147" s="11" t="s">
        <v>186</v>
      </c>
      <c r="E147" s="13" t="s">
        <v>1372</v>
      </c>
      <c r="F147" s="13" t="s">
        <v>1302</v>
      </c>
      <c r="G147" s="13" t="s">
        <v>1252</v>
      </c>
      <c r="H147" s="13" t="s">
        <v>1253</v>
      </c>
      <c r="I147" s="19" t="s">
        <v>1254</v>
      </c>
      <c r="J147" s="11" t="s">
        <v>1267</v>
      </c>
      <c r="K147" s="13" t="s">
        <v>1256</v>
      </c>
      <c r="L147" s="20"/>
      <c r="M147" s="16"/>
      <c r="N147" s="16" t="s">
        <v>95</v>
      </c>
    </row>
    <row r="148" customFormat="false" ht="46.25" hidden="false" customHeight="false" outlineLevel="0" collapsed="false">
      <c r="A148" s="11" t="n">
        <v>144</v>
      </c>
      <c r="B148" s="12" t="s">
        <v>644</v>
      </c>
      <c r="C148" s="13" t="s">
        <v>644</v>
      </c>
      <c r="D148" s="11" t="s">
        <v>186</v>
      </c>
      <c r="E148" s="13" t="s">
        <v>1372</v>
      </c>
      <c r="F148" s="13" t="s">
        <v>1251</v>
      </c>
      <c r="G148" s="13" t="s">
        <v>1252</v>
      </c>
      <c r="H148" s="13" t="s">
        <v>1253</v>
      </c>
      <c r="I148" s="19" t="s">
        <v>1254</v>
      </c>
      <c r="J148" s="11" t="s">
        <v>1267</v>
      </c>
      <c r="K148" s="13" t="s">
        <v>1256</v>
      </c>
      <c r="L148" s="20"/>
      <c r="M148" s="16"/>
      <c r="N148" s="16" t="s">
        <v>95</v>
      </c>
    </row>
    <row r="149" customFormat="false" ht="35.05" hidden="false" customHeight="false" outlineLevel="0" collapsed="false">
      <c r="A149" s="11" t="n">
        <v>145</v>
      </c>
      <c r="B149" s="12" t="s">
        <v>1379</v>
      </c>
      <c r="C149" s="13" t="s">
        <v>706</v>
      </c>
      <c r="D149" s="11" t="s">
        <v>186</v>
      </c>
      <c r="E149" s="13" t="s">
        <v>1372</v>
      </c>
      <c r="F149" s="13" t="s">
        <v>1270</v>
      </c>
      <c r="G149" s="13" t="s">
        <v>1252</v>
      </c>
      <c r="H149" s="13"/>
      <c r="I149" s="19" t="s">
        <v>1254</v>
      </c>
      <c r="J149" s="11" t="s">
        <v>1267</v>
      </c>
      <c r="K149" s="13" t="s">
        <v>1256</v>
      </c>
      <c r="L149" s="20"/>
      <c r="M149" s="16"/>
      <c r="N149" s="16" t="s">
        <v>95</v>
      </c>
    </row>
    <row r="150" customFormat="false" ht="35.05" hidden="false" customHeight="false" outlineLevel="0" collapsed="false">
      <c r="A150" s="11" t="n">
        <v>146</v>
      </c>
      <c r="B150" s="12" t="s">
        <v>1380</v>
      </c>
      <c r="C150" s="13" t="s">
        <v>1381</v>
      </c>
      <c r="D150" s="11" t="s">
        <v>186</v>
      </c>
      <c r="E150" s="13" t="s">
        <v>1372</v>
      </c>
      <c r="F150" s="13" t="s">
        <v>1270</v>
      </c>
      <c r="G150" s="13" t="s">
        <v>1252</v>
      </c>
      <c r="H150" s="13"/>
      <c r="I150" s="19" t="s">
        <v>1254</v>
      </c>
      <c r="J150" s="11" t="s">
        <v>1267</v>
      </c>
      <c r="K150" s="13" t="s">
        <v>1256</v>
      </c>
      <c r="L150" s="20"/>
      <c r="M150" s="16"/>
      <c r="N150" s="16" t="s">
        <v>95</v>
      </c>
    </row>
    <row r="151" customFormat="false" ht="35.05" hidden="false" customHeight="false" outlineLevel="0" collapsed="false">
      <c r="A151" s="11" t="n">
        <v>147</v>
      </c>
      <c r="B151" s="12" t="s">
        <v>1382</v>
      </c>
      <c r="C151" s="13" t="s">
        <v>1383</v>
      </c>
      <c r="D151" s="11" t="s">
        <v>186</v>
      </c>
      <c r="E151" s="13" t="s">
        <v>1372</v>
      </c>
      <c r="F151" s="13" t="s">
        <v>1270</v>
      </c>
      <c r="G151" s="13" t="s">
        <v>1252</v>
      </c>
      <c r="H151" s="13"/>
      <c r="I151" s="19" t="s">
        <v>1254</v>
      </c>
      <c r="J151" s="11" t="s">
        <v>1267</v>
      </c>
      <c r="K151" s="13" t="s">
        <v>1256</v>
      </c>
      <c r="L151" s="20"/>
      <c r="M151" s="16"/>
      <c r="N151" s="16" t="s">
        <v>95</v>
      </c>
    </row>
    <row r="152" customFormat="false" ht="46.25" hidden="false" customHeight="false" outlineLevel="0" collapsed="false">
      <c r="A152" s="11" t="n">
        <v>148</v>
      </c>
      <c r="B152" s="12" t="s">
        <v>1384</v>
      </c>
      <c r="C152" s="13" t="s">
        <v>717</v>
      </c>
      <c r="D152" s="11" t="s">
        <v>186</v>
      </c>
      <c r="E152" s="13" t="s">
        <v>1372</v>
      </c>
      <c r="F152" s="13" t="s">
        <v>1251</v>
      </c>
      <c r="G152" s="13" t="s">
        <v>1252</v>
      </c>
      <c r="H152" s="13"/>
      <c r="I152" s="19" t="s">
        <v>1254</v>
      </c>
      <c r="J152" s="11" t="s">
        <v>1267</v>
      </c>
      <c r="K152" s="13" t="s">
        <v>1256</v>
      </c>
      <c r="L152" s="20"/>
      <c r="M152" s="16"/>
      <c r="N152" s="16" t="s">
        <v>95</v>
      </c>
    </row>
    <row r="153" customFormat="false" ht="46.25" hidden="false" customHeight="false" outlineLevel="0" collapsed="false">
      <c r="A153" s="11" t="n">
        <v>149</v>
      </c>
      <c r="B153" s="12" t="s">
        <v>753</v>
      </c>
      <c r="C153" s="13" t="s">
        <v>753</v>
      </c>
      <c r="D153" s="11" t="s">
        <v>186</v>
      </c>
      <c r="E153" s="13" t="s">
        <v>1372</v>
      </c>
      <c r="F153" s="13" t="s">
        <v>1251</v>
      </c>
      <c r="G153" s="13" t="s">
        <v>1252</v>
      </c>
      <c r="H153" s="13"/>
      <c r="I153" s="19" t="s">
        <v>1254</v>
      </c>
      <c r="J153" s="11" t="s">
        <v>1273</v>
      </c>
      <c r="K153" s="13" t="s">
        <v>1260</v>
      </c>
      <c r="L153" s="20"/>
      <c r="M153" s="16"/>
      <c r="N153" s="16" t="s">
        <v>95</v>
      </c>
    </row>
    <row r="154" customFormat="false" ht="46.25" hidden="false" customHeight="false" outlineLevel="0" collapsed="false">
      <c r="A154" s="11" t="n">
        <v>150</v>
      </c>
      <c r="B154" s="12" t="s">
        <v>759</v>
      </c>
      <c r="C154" s="13" t="s">
        <v>759</v>
      </c>
      <c r="D154" s="11" t="s">
        <v>186</v>
      </c>
      <c r="E154" s="13" t="s">
        <v>1372</v>
      </c>
      <c r="F154" s="13" t="s">
        <v>1251</v>
      </c>
      <c r="G154" s="13" t="s">
        <v>1252</v>
      </c>
      <c r="H154" s="13"/>
      <c r="I154" s="19" t="s">
        <v>1254</v>
      </c>
      <c r="J154" s="11" t="s">
        <v>1273</v>
      </c>
      <c r="K154" s="13" t="s">
        <v>1260</v>
      </c>
      <c r="L154" s="20"/>
      <c r="M154" s="16"/>
      <c r="N154" s="16" t="s">
        <v>95</v>
      </c>
    </row>
    <row r="155" customFormat="false" ht="46.25" hidden="false" customHeight="false" outlineLevel="0" collapsed="false">
      <c r="A155" s="11" t="n">
        <v>151</v>
      </c>
      <c r="B155" s="12" t="s">
        <v>1385</v>
      </c>
      <c r="C155" s="13" t="s">
        <v>763</v>
      </c>
      <c r="D155" s="11" t="s">
        <v>186</v>
      </c>
      <c r="E155" s="13" t="s">
        <v>1372</v>
      </c>
      <c r="F155" s="13" t="s">
        <v>1251</v>
      </c>
      <c r="G155" s="13" t="s">
        <v>1252</v>
      </c>
      <c r="H155" s="13"/>
      <c r="I155" s="19" t="s">
        <v>1254</v>
      </c>
      <c r="J155" s="11" t="s">
        <v>1267</v>
      </c>
      <c r="K155" s="13" t="s">
        <v>1256</v>
      </c>
      <c r="L155" s="20"/>
      <c r="M155" s="16"/>
      <c r="N155" s="16" t="s">
        <v>95</v>
      </c>
    </row>
    <row r="156" customFormat="false" ht="35.05" hidden="false" customHeight="false" outlineLevel="0" collapsed="false">
      <c r="A156" s="11" t="n">
        <v>152</v>
      </c>
      <c r="B156" s="12" t="s">
        <v>768</v>
      </c>
      <c r="C156" s="13" t="s">
        <v>1386</v>
      </c>
      <c r="D156" s="11" t="s">
        <v>186</v>
      </c>
      <c r="E156" s="13" t="s">
        <v>1372</v>
      </c>
      <c r="F156" s="13" t="s">
        <v>1270</v>
      </c>
      <c r="G156" s="13" t="s">
        <v>1252</v>
      </c>
      <c r="H156" s="13"/>
      <c r="I156" s="19" t="s">
        <v>1254</v>
      </c>
      <c r="J156" s="11" t="s">
        <v>1267</v>
      </c>
      <c r="K156" s="13" t="s">
        <v>1256</v>
      </c>
      <c r="L156" s="20"/>
      <c r="M156" s="16"/>
      <c r="N156" s="16" t="s">
        <v>95</v>
      </c>
    </row>
    <row r="157" customFormat="false" ht="35.05" hidden="false" customHeight="false" outlineLevel="0" collapsed="false">
      <c r="A157" s="11" t="n">
        <v>153</v>
      </c>
      <c r="B157" s="12" t="s">
        <v>831</v>
      </c>
      <c r="C157" s="13" t="s">
        <v>1387</v>
      </c>
      <c r="D157" s="11" t="s">
        <v>186</v>
      </c>
      <c r="E157" s="13" t="s">
        <v>1372</v>
      </c>
      <c r="F157" s="13" t="s">
        <v>1270</v>
      </c>
      <c r="G157" s="13" t="s">
        <v>1252</v>
      </c>
      <c r="H157" s="13"/>
      <c r="I157" s="19" t="s">
        <v>1254</v>
      </c>
      <c r="J157" s="11" t="s">
        <v>1278</v>
      </c>
      <c r="K157" s="13" t="s">
        <v>1256</v>
      </c>
      <c r="L157" s="20"/>
      <c r="M157" s="16"/>
      <c r="N157" s="16" t="s">
        <v>95</v>
      </c>
    </row>
    <row r="158" customFormat="false" ht="35.05" hidden="false" customHeight="false" outlineLevel="0" collapsed="false">
      <c r="A158" s="11" t="n">
        <v>154</v>
      </c>
      <c r="B158" s="12" t="s">
        <v>869</v>
      </c>
      <c r="C158" s="13" t="s">
        <v>1388</v>
      </c>
      <c r="D158" s="11" t="s">
        <v>186</v>
      </c>
      <c r="E158" s="13" t="s">
        <v>1372</v>
      </c>
      <c r="F158" s="13" t="s">
        <v>1270</v>
      </c>
      <c r="G158" s="13" t="s">
        <v>1252</v>
      </c>
      <c r="H158" s="13"/>
      <c r="I158" s="19" t="s">
        <v>1254</v>
      </c>
      <c r="J158" s="11" t="s">
        <v>1278</v>
      </c>
      <c r="K158" s="13" t="s">
        <v>1256</v>
      </c>
      <c r="L158" s="20"/>
      <c r="M158" s="16"/>
      <c r="N158" s="16" t="s">
        <v>95</v>
      </c>
    </row>
    <row r="159" customFormat="false" ht="35.05" hidden="false" customHeight="false" outlineLevel="0" collapsed="false">
      <c r="A159" s="11" t="n">
        <v>155</v>
      </c>
      <c r="B159" s="12" t="s">
        <v>874</v>
      </c>
      <c r="C159" s="13" t="s">
        <v>1389</v>
      </c>
      <c r="D159" s="11" t="s">
        <v>186</v>
      </c>
      <c r="E159" s="13" t="s">
        <v>1372</v>
      </c>
      <c r="F159" s="13" t="s">
        <v>1270</v>
      </c>
      <c r="G159" s="13" t="s">
        <v>1252</v>
      </c>
      <c r="H159" s="13"/>
      <c r="I159" s="19" t="s">
        <v>1254</v>
      </c>
      <c r="J159" s="11" t="s">
        <v>1278</v>
      </c>
      <c r="K159" s="13" t="s">
        <v>1256</v>
      </c>
      <c r="L159" s="20"/>
      <c r="M159" s="16"/>
      <c r="N159" s="16" t="s">
        <v>95</v>
      </c>
    </row>
    <row r="160" customFormat="false" ht="35.05" hidden="false" customHeight="false" outlineLevel="0" collapsed="false">
      <c r="A160" s="11" t="n">
        <v>156</v>
      </c>
      <c r="B160" s="12" t="s">
        <v>1390</v>
      </c>
      <c r="C160" s="13" t="s">
        <v>1391</v>
      </c>
      <c r="D160" s="11" t="s">
        <v>186</v>
      </c>
      <c r="E160" s="13" t="s">
        <v>1372</v>
      </c>
      <c r="F160" s="13" t="s">
        <v>1270</v>
      </c>
      <c r="G160" s="13" t="s">
        <v>1252</v>
      </c>
      <c r="H160" s="13"/>
      <c r="I160" s="19" t="s">
        <v>1254</v>
      </c>
      <c r="J160" s="11" t="s">
        <v>1278</v>
      </c>
      <c r="K160" s="13" t="s">
        <v>1256</v>
      </c>
      <c r="L160" s="20"/>
      <c r="M160" s="16"/>
      <c r="N160" s="16" t="s">
        <v>95</v>
      </c>
    </row>
    <row r="161" customFormat="false" ht="46.25" hidden="false" customHeight="false" outlineLevel="0" collapsed="false">
      <c r="A161" s="11" t="n">
        <v>157</v>
      </c>
      <c r="B161" s="12" t="s">
        <v>884</v>
      </c>
      <c r="C161" s="13" t="s">
        <v>1392</v>
      </c>
      <c r="D161" s="11" t="s">
        <v>186</v>
      </c>
      <c r="E161" s="13" t="s">
        <v>1372</v>
      </c>
      <c r="F161" s="13" t="s">
        <v>1283</v>
      </c>
      <c r="G161" s="13" t="s">
        <v>1252</v>
      </c>
      <c r="H161" s="13"/>
      <c r="I161" s="19" t="s">
        <v>1254</v>
      </c>
      <c r="J161" s="11" t="s">
        <v>1278</v>
      </c>
      <c r="K161" s="13" t="s">
        <v>1256</v>
      </c>
      <c r="L161" s="20"/>
      <c r="M161" s="16"/>
      <c r="N161" s="16" t="s">
        <v>95</v>
      </c>
    </row>
    <row r="162" customFormat="false" ht="46.25" hidden="false" customHeight="false" outlineLevel="0" collapsed="false">
      <c r="A162" s="11" t="n">
        <v>158</v>
      </c>
      <c r="B162" s="12" t="s">
        <v>958</v>
      </c>
      <c r="C162" s="13" t="s">
        <v>1393</v>
      </c>
      <c r="D162" s="11" t="s">
        <v>186</v>
      </c>
      <c r="E162" s="13" t="s">
        <v>1372</v>
      </c>
      <c r="F162" s="13" t="s">
        <v>1251</v>
      </c>
      <c r="G162" s="13" t="s">
        <v>1252</v>
      </c>
      <c r="H162" s="13"/>
      <c r="I162" s="19" t="s">
        <v>1254</v>
      </c>
      <c r="J162" s="11" t="s">
        <v>1288</v>
      </c>
      <c r="K162" s="13" t="s">
        <v>1262</v>
      </c>
      <c r="L162" s="20"/>
      <c r="M162" s="16"/>
      <c r="N162" s="16" t="s">
        <v>95</v>
      </c>
    </row>
    <row r="163" customFormat="false" ht="46.25" hidden="false" customHeight="false" outlineLevel="0" collapsed="false">
      <c r="A163" s="11" t="n">
        <v>159</v>
      </c>
      <c r="B163" s="12" t="s">
        <v>1394</v>
      </c>
      <c r="C163" s="13" t="s">
        <v>1395</v>
      </c>
      <c r="D163" s="11" t="s">
        <v>186</v>
      </c>
      <c r="E163" s="13" t="s">
        <v>1372</v>
      </c>
      <c r="F163" s="13" t="s">
        <v>1251</v>
      </c>
      <c r="G163" s="13" t="s">
        <v>1252</v>
      </c>
      <c r="H163" s="13"/>
      <c r="I163" s="19" t="s">
        <v>1254</v>
      </c>
      <c r="J163" s="11" t="s">
        <v>1286</v>
      </c>
      <c r="K163" s="13" t="s">
        <v>1256</v>
      </c>
      <c r="L163" s="20"/>
      <c r="M163" s="16"/>
      <c r="N163" s="16" t="s">
        <v>95</v>
      </c>
    </row>
    <row r="164" customFormat="false" ht="46.25" hidden="false" customHeight="false" outlineLevel="0" collapsed="false">
      <c r="A164" s="11" t="n">
        <v>160</v>
      </c>
      <c r="B164" s="12" t="s">
        <v>1396</v>
      </c>
      <c r="C164" s="13" t="s">
        <v>1397</v>
      </c>
      <c r="D164" s="11" t="s">
        <v>186</v>
      </c>
      <c r="E164" s="13" t="s">
        <v>1372</v>
      </c>
      <c r="F164" s="13" t="s">
        <v>1251</v>
      </c>
      <c r="G164" s="13" t="s">
        <v>1252</v>
      </c>
      <c r="H164" s="13"/>
      <c r="I164" s="19" t="s">
        <v>1254</v>
      </c>
      <c r="J164" s="11" t="s">
        <v>1288</v>
      </c>
      <c r="K164" s="13" t="s">
        <v>1262</v>
      </c>
      <c r="L164" s="20"/>
      <c r="M164" s="16"/>
      <c r="N164" s="16" t="s">
        <v>95</v>
      </c>
    </row>
    <row r="165" customFormat="false" ht="46.25" hidden="false" customHeight="false" outlineLevel="0" collapsed="false">
      <c r="A165" s="11" t="n">
        <v>161</v>
      </c>
      <c r="B165" s="12" t="s">
        <v>967</v>
      </c>
      <c r="C165" s="13" t="s">
        <v>1398</v>
      </c>
      <c r="D165" s="11" t="s">
        <v>186</v>
      </c>
      <c r="E165" s="13" t="s">
        <v>1372</v>
      </c>
      <c r="F165" s="13" t="s">
        <v>1251</v>
      </c>
      <c r="G165" s="13" t="s">
        <v>1252</v>
      </c>
      <c r="H165" s="13"/>
      <c r="I165" s="19" t="s">
        <v>1254</v>
      </c>
      <c r="J165" s="11" t="s">
        <v>1288</v>
      </c>
      <c r="K165" s="13" t="s">
        <v>1262</v>
      </c>
      <c r="L165" s="20"/>
      <c r="M165" s="16"/>
      <c r="N165" s="16" t="s">
        <v>95</v>
      </c>
    </row>
    <row r="166" customFormat="false" ht="46.25" hidden="false" customHeight="false" outlineLevel="0" collapsed="false">
      <c r="A166" s="11" t="n">
        <v>162</v>
      </c>
      <c r="B166" s="12" t="s">
        <v>970</v>
      </c>
      <c r="C166" s="13" t="s">
        <v>1399</v>
      </c>
      <c r="D166" s="11" t="s">
        <v>186</v>
      </c>
      <c r="E166" s="13" t="s">
        <v>1372</v>
      </c>
      <c r="F166" s="13" t="s">
        <v>1251</v>
      </c>
      <c r="G166" s="13" t="s">
        <v>1252</v>
      </c>
      <c r="H166" s="13"/>
      <c r="I166" s="19" t="s">
        <v>1254</v>
      </c>
      <c r="J166" s="11" t="s">
        <v>1288</v>
      </c>
      <c r="K166" s="13" t="s">
        <v>1262</v>
      </c>
      <c r="L166" s="20"/>
      <c r="M166" s="16"/>
      <c r="N166" s="16" t="s">
        <v>95</v>
      </c>
    </row>
    <row r="167" customFormat="false" ht="35.05" hidden="false" customHeight="false" outlineLevel="0" collapsed="false">
      <c r="A167" s="11" t="n">
        <v>163</v>
      </c>
      <c r="B167" s="12" t="s">
        <v>1008</v>
      </c>
      <c r="C167" s="13" t="s">
        <v>1400</v>
      </c>
      <c r="D167" s="11" t="s">
        <v>186</v>
      </c>
      <c r="E167" s="13" t="s">
        <v>1372</v>
      </c>
      <c r="F167" s="13" t="s">
        <v>1354</v>
      </c>
      <c r="G167" s="13" t="s">
        <v>1252</v>
      </c>
      <c r="H167" s="13"/>
      <c r="I167" s="19" t="s">
        <v>1254</v>
      </c>
      <c r="J167" s="11" t="s">
        <v>1349</v>
      </c>
      <c r="K167" s="13" t="s">
        <v>1262</v>
      </c>
      <c r="L167" s="20"/>
      <c r="M167" s="16"/>
      <c r="N167" s="16" t="s">
        <v>95</v>
      </c>
    </row>
    <row r="168" customFormat="false" ht="46.25" hidden="false" customHeight="false" outlineLevel="0" collapsed="false">
      <c r="A168" s="11" t="n">
        <v>164</v>
      </c>
      <c r="B168" s="12" t="s">
        <v>1013</v>
      </c>
      <c r="C168" s="13" t="s">
        <v>1013</v>
      </c>
      <c r="D168" s="11" t="s">
        <v>186</v>
      </c>
      <c r="E168" s="13" t="s">
        <v>1372</v>
      </c>
      <c r="F168" s="13" t="s">
        <v>1258</v>
      </c>
      <c r="G168" s="13" t="s">
        <v>1252</v>
      </c>
      <c r="H168" s="13"/>
      <c r="I168" s="19" t="s">
        <v>1254</v>
      </c>
      <c r="J168" s="11" t="s">
        <v>1349</v>
      </c>
      <c r="K168" s="13" t="s">
        <v>1262</v>
      </c>
      <c r="L168" s="20"/>
      <c r="M168" s="16"/>
      <c r="N168" s="16" t="s">
        <v>95</v>
      </c>
    </row>
    <row r="169" customFormat="false" ht="46.25" hidden="false" customHeight="false" outlineLevel="0" collapsed="false">
      <c r="A169" s="11" t="n">
        <v>165</v>
      </c>
      <c r="B169" s="12" t="s">
        <v>1058</v>
      </c>
      <c r="C169" s="13" t="s">
        <v>1058</v>
      </c>
      <c r="D169" s="11" t="s">
        <v>186</v>
      </c>
      <c r="E169" s="13" t="s">
        <v>1372</v>
      </c>
      <c r="F169" s="13" t="s">
        <v>1251</v>
      </c>
      <c r="G169" s="13" t="s">
        <v>1252</v>
      </c>
      <c r="H169" s="13"/>
      <c r="I169" s="19" t="s">
        <v>1254</v>
      </c>
      <c r="J169" s="11" t="s">
        <v>1267</v>
      </c>
      <c r="K169" s="13" t="s">
        <v>1256</v>
      </c>
      <c r="L169" s="20"/>
      <c r="M169" s="16"/>
      <c r="N169" s="16" t="s">
        <v>95</v>
      </c>
    </row>
    <row r="170" customFormat="false" ht="46.25" hidden="false" customHeight="false" outlineLevel="0" collapsed="false">
      <c r="A170" s="11" t="n">
        <v>166</v>
      </c>
      <c r="B170" s="12" t="s">
        <v>1144</v>
      </c>
      <c r="C170" s="13" t="s">
        <v>1401</v>
      </c>
      <c r="D170" s="11" t="s">
        <v>186</v>
      </c>
      <c r="E170" s="13" t="s">
        <v>1372</v>
      </c>
      <c r="F170" s="13" t="s">
        <v>1283</v>
      </c>
      <c r="G170" s="13" t="s">
        <v>1252</v>
      </c>
      <c r="H170" s="13"/>
      <c r="I170" s="19" t="s">
        <v>1254</v>
      </c>
      <c r="J170" s="11" t="s">
        <v>1294</v>
      </c>
      <c r="K170" s="13" t="s">
        <v>1262</v>
      </c>
      <c r="L170" s="20"/>
      <c r="M170" s="16"/>
      <c r="N170" s="16" t="s">
        <v>95</v>
      </c>
    </row>
    <row r="171" customFormat="false" ht="46.25" hidden="false" customHeight="false" outlineLevel="0" collapsed="false">
      <c r="A171" s="11" t="n">
        <v>167</v>
      </c>
      <c r="B171" s="12" t="s">
        <v>1147</v>
      </c>
      <c r="C171" s="13" t="s">
        <v>1147</v>
      </c>
      <c r="D171" s="11" t="s">
        <v>186</v>
      </c>
      <c r="E171" s="13" t="s">
        <v>1372</v>
      </c>
      <c r="F171" s="13" t="s">
        <v>1291</v>
      </c>
      <c r="G171" s="13" t="s">
        <v>1252</v>
      </c>
      <c r="H171" s="13"/>
      <c r="I171" s="19" t="s">
        <v>1254</v>
      </c>
      <c r="J171" s="11" t="s">
        <v>1294</v>
      </c>
      <c r="K171" s="13" t="s">
        <v>1262</v>
      </c>
      <c r="L171" s="20"/>
      <c r="M171" s="16"/>
      <c r="N171" s="16" t="s">
        <v>95</v>
      </c>
    </row>
    <row r="172" customFormat="false" ht="46.25" hidden="false" customHeight="false" outlineLevel="0" collapsed="false">
      <c r="A172" s="11" t="n">
        <v>168</v>
      </c>
      <c r="B172" s="12" t="s">
        <v>1151</v>
      </c>
      <c r="C172" s="13" t="s">
        <v>1402</v>
      </c>
      <c r="D172" s="11" t="s">
        <v>186</v>
      </c>
      <c r="E172" s="13" t="s">
        <v>1372</v>
      </c>
      <c r="F172" s="13" t="s">
        <v>1291</v>
      </c>
      <c r="G172" s="13" t="s">
        <v>1252</v>
      </c>
      <c r="H172" s="13"/>
      <c r="I172" s="19" t="s">
        <v>1254</v>
      </c>
      <c r="J172" s="11" t="s">
        <v>1294</v>
      </c>
      <c r="K172" s="13" t="s">
        <v>1262</v>
      </c>
      <c r="L172" s="20"/>
      <c r="M172" s="16"/>
      <c r="N172" s="16" t="s">
        <v>95</v>
      </c>
    </row>
    <row r="173" customFormat="false" ht="46.25" hidden="false" customHeight="false" outlineLevel="0" collapsed="false">
      <c r="A173" s="11" t="n">
        <v>169</v>
      </c>
      <c r="B173" s="12" t="s">
        <v>1152</v>
      </c>
      <c r="C173" s="13" t="s">
        <v>1403</v>
      </c>
      <c r="D173" s="11" t="s">
        <v>186</v>
      </c>
      <c r="E173" s="13" t="s">
        <v>1372</v>
      </c>
      <c r="F173" s="13" t="s">
        <v>1283</v>
      </c>
      <c r="G173" s="13" t="s">
        <v>1252</v>
      </c>
      <c r="H173" s="13"/>
      <c r="I173" s="19" t="s">
        <v>1254</v>
      </c>
      <c r="J173" s="11" t="s">
        <v>1294</v>
      </c>
      <c r="K173" s="13" t="s">
        <v>1262</v>
      </c>
      <c r="L173" s="20"/>
      <c r="M173" s="16"/>
      <c r="N173" s="16" t="s">
        <v>95</v>
      </c>
    </row>
    <row r="174" customFormat="false" ht="46.25" hidden="false" customHeight="false" outlineLevel="0" collapsed="false">
      <c r="A174" s="11" t="n">
        <v>170</v>
      </c>
      <c r="B174" s="12" t="s">
        <v>1155</v>
      </c>
      <c r="C174" s="13" t="s">
        <v>1155</v>
      </c>
      <c r="D174" s="11" t="s">
        <v>186</v>
      </c>
      <c r="E174" s="13" t="s">
        <v>1372</v>
      </c>
      <c r="F174" s="13" t="s">
        <v>1291</v>
      </c>
      <c r="G174" s="13" t="s">
        <v>1252</v>
      </c>
      <c r="H174" s="13"/>
      <c r="I174" s="19" t="s">
        <v>1254</v>
      </c>
      <c r="J174" s="11" t="s">
        <v>1294</v>
      </c>
      <c r="K174" s="13" t="s">
        <v>1262</v>
      </c>
      <c r="L174" s="20"/>
      <c r="M174" s="16"/>
      <c r="N174" s="16" t="s">
        <v>95</v>
      </c>
    </row>
    <row r="175" customFormat="false" ht="46.25" hidden="false" customHeight="false" outlineLevel="0" collapsed="false">
      <c r="A175" s="11" t="n">
        <v>171</v>
      </c>
      <c r="B175" s="12" t="s">
        <v>1160</v>
      </c>
      <c r="C175" s="13" t="s">
        <v>1160</v>
      </c>
      <c r="D175" s="11" t="s">
        <v>186</v>
      </c>
      <c r="E175" s="13" t="s">
        <v>1372</v>
      </c>
      <c r="F175" s="13" t="s">
        <v>1291</v>
      </c>
      <c r="G175" s="13" t="s">
        <v>1252</v>
      </c>
      <c r="H175" s="13"/>
      <c r="I175" s="19" t="s">
        <v>1254</v>
      </c>
      <c r="J175" s="11" t="s">
        <v>1294</v>
      </c>
      <c r="K175" s="13" t="s">
        <v>1262</v>
      </c>
      <c r="L175" s="20"/>
      <c r="M175" s="16"/>
      <c r="N175" s="16" t="s">
        <v>95</v>
      </c>
    </row>
    <row r="176" customFormat="false" ht="46.25" hidden="false" customHeight="false" outlineLevel="0" collapsed="false">
      <c r="A176" s="11" t="n">
        <v>172</v>
      </c>
      <c r="B176" s="12" t="s">
        <v>1162</v>
      </c>
      <c r="C176" s="13" t="s">
        <v>1404</v>
      </c>
      <c r="D176" s="11" t="s">
        <v>186</v>
      </c>
      <c r="E176" s="13" t="s">
        <v>1372</v>
      </c>
      <c r="F176" s="13" t="s">
        <v>1283</v>
      </c>
      <c r="G176" s="13" t="s">
        <v>1252</v>
      </c>
      <c r="H176" s="13"/>
      <c r="I176" s="19" t="s">
        <v>1254</v>
      </c>
      <c r="J176" s="11" t="s">
        <v>1294</v>
      </c>
      <c r="K176" s="13" t="s">
        <v>1262</v>
      </c>
      <c r="L176" s="20"/>
      <c r="M176" s="16"/>
      <c r="N176" s="16" t="s">
        <v>95</v>
      </c>
    </row>
    <row r="177" customFormat="false" ht="46.25" hidden="false" customHeight="false" outlineLevel="0" collapsed="false">
      <c r="A177" s="11" t="n">
        <v>173</v>
      </c>
      <c r="B177" s="12" t="s">
        <v>1165</v>
      </c>
      <c r="C177" s="13" t="s">
        <v>1405</v>
      </c>
      <c r="D177" s="11" t="s">
        <v>186</v>
      </c>
      <c r="E177" s="13" t="s">
        <v>1372</v>
      </c>
      <c r="F177" s="13" t="s">
        <v>1264</v>
      </c>
      <c r="G177" s="13" t="s">
        <v>1252</v>
      </c>
      <c r="H177" s="13"/>
      <c r="I177" s="19" t="s">
        <v>1254</v>
      </c>
      <c r="J177" s="11" t="s">
        <v>1294</v>
      </c>
      <c r="K177" s="13" t="s">
        <v>1262</v>
      </c>
      <c r="L177" s="20"/>
      <c r="M177" s="16"/>
      <c r="N177" s="16" t="s">
        <v>95</v>
      </c>
    </row>
    <row r="178" customFormat="false" ht="46.25" hidden="false" customHeight="false" outlineLevel="0" collapsed="false">
      <c r="A178" s="11" t="n">
        <v>174</v>
      </c>
      <c r="B178" s="12" t="s">
        <v>1170</v>
      </c>
      <c r="C178" s="13" t="s">
        <v>1406</v>
      </c>
      <c r="D178" s="11" t="s">
        <v>186</v>
      </c>
      <c r="E178" s="13" t="s">
        <v>1372</v>
      </c>
      <c r="F178" s="13" t="s">
        <v>1264</v>
      </c>
      <c r="G178" s="13" t="s">
        <v>1252</v>
      </c>
      <c r="H178" s="13"/>
      <c r="I178" s="19" t="s">
        <v>1254</v>
      </c>
      <c r="J178" s="11" t="s">
        <v>1294</v>
      </c>
      <c r="K178" s="13" t="s">
        <v>1262</v>
      </c>
      <c r="L178" s="20"/>
      <c r="M178" s="16"/>
      <c r="N178" s="16" t="s">
        <v>95</v>
      </c>
    </row>
    <row r="179" customFormat="false" ht="35.05" hidden="false" customHeight="false" outlineLevel="0" collapsed="false">
      <c r="A179" s="11" t="n">
        <v>175</v>
      </c>
      <c r="B179" s="12" t="s">
        <v>1176</v>
      </c>
      <c r="C179" s="13" t="s">
        <v>1407</v>
      </c>
      <c r="D179" s="11" t="s">
        <v>186</v>
      </c>
      <c r="E179" s="13" t="s">
        <v>1372</v>
      </c>
      <c r="F179" s="13" t="s">
        <v>1270</v>
      </c>
      <c r="G179" s="13" t="s">
        <v>1252</v>
      </c>
      <c r="H179" s="13"/>
      <c r="I179" s="19" t="s">
        <v>1254</v>
      </c>
      <c r="J179" s="11" t="s">
        <v>1273</v>
      </c>
      <c r="K179" s="13" t="s">
        <v>1262</v>
      </c>
      <c r="L179" s="20"/>
      <c r="M179" s="16"/>
      <c r="N179" s="16" t="s">
        <v>95</v>
      </c>
    </row>
    <row r="180" customFormat="false" ht="46.25" hidden="false" customHeight="false" outlineLevel="0" collapsed="false">
      <c r="A180" s="11" t="n">
        <v>176</v>
      </c>
      <c r="B180" s="12" t="s">
        <v>1181</v>
      </c>
      <c r="C180" s="13" t="s">
        <v>1181</v>
      </c>
      <c r="D180" s="11" t="s">
        <v>186</v>
      </c>
      <c r="E180" s="13" t="s">
        <v>1372</v>
      </c>
      <c r="F180" s="13" t="s">
        <v>1283</v>
      </c>
      <c r="G180" s="13" t="s">
        <v>1252</v>
      </c>
      <c r="H180" s="13"/>
      <c r="I180" s="19" t="s">
        <v>1254</v>
      </c>
      <c r="J180" s="11" t="s">
        <v>1273</v>
      </c>
      <c r="K180" s="13" t="s">
        <v>1262</v>
      </c>
      <c r="L180" s="20"/>
      <c r="M180" s="16"/>
      <c r="N180" s="16" t="s">
        <v>95</v>
      </c>
    </row>
    <row r="181" customFormat="false" ht="35.05" hidden="false" customHeight="false" outlineLevel="0" collapsed="false">
      <c r="A181" s="11" t="n">
        <v>177</v>
      </c>
      <c r="B181" s="12" t="s">
        <v>1199</v>
      </c>
      <c r="C181" s="13" t="s">
        <v>1408</v>
      </c>
      <c r="D181" s="11" t="s">
        <v>186</v>
      </c>
      <c r="E181" s="13" t="s">
        <v>1372</v>
      </c>
      <c r="F181" s="13" t="s">
        <v>1270</v>
      </c>
      <c r="G181" s="13" t="s">
        <v>1252</v>
      </c>
      <c r="H181" s="13"/>
      <c r="I181" s="19" t="s">
        <v>1254</v>
      </c>
      <c r="J181" s="11" t="s">
        <v>1273</v>
      </c>
      <c r="K181" s="13" t="s">
        <v>1262</v>
      </c>
      <c r="L181" s="20"/>
      <c r="M181" s="16"/>
      <c r="N181" s="16" t="s">
        <v>95</v>
      </c>
    </row>
    <row r="182" customFormat="false" ht="46.25" hidden="false" customHeight="false" outlineLevel="0" collapsed="false">
      <c r="A182" s="11" t="n">
        <v>178</v>
      </c>
      <c r="B182" s="12" t="s">
        <v>1204</v>
      </c>
      <c r="C182" s="13" t="s">
        <v>1204</v>
      </c>
      <c r="D182" s="11" t="s">
        <v>186</v>
      </c>
      <c r="E182" s="13" t="s">
        <v>1372</v>
      </c>
      <c r="F182" s="13" t="s">
        <v>1283</v>
      </c>
      <c r="G182" s="13" t="s">
        <v>1252</v>
      </c>
      <c r="H182" s="13"/>
      <c r="I182" s="19" t="s">
        <v>1254</v>
      </c>
      <c r="J182" s="11" t="s">
        <v>1273</v>
      </c>
      <c r="K182" s="13" t="s">
        <v>1262</v>
      </c>
      <c r="L182" s="20"/>
      <c r="M182" s="16"/>
      <c r="N182" s="16" t="s">
        <v>95</v>
      </c>
    </row>
    <row r="183" customFormat="false" ht="35.05" hidden="false" customHeight="false" outlineLevel="0" collapsed="false">
      <c r="A183" s="11" t="n">
        <v>179</v>
      </c>
      <c r="B183" s="12" t="s">
        <v>188</v>
      </c>
      <c r="C183" s="13" t="s">
        <v>188</v>
      </c>
      <c r="D183" s="11" t="s">
        <v>193</v>
      </c>
      <c r="E183" s="13" t="s">
        <v>1372</v>
      </c>
      <c r="F183" s="13" t="s">
        <v>1302</v>
      </c>
      <c r="G183" s="13" t="s">
        <v>1252</v>
      </c>
      <c r="H183" s="13" t="s">
        <v>1253</v>
      </c>
      <c r="I183" s="19" t="s">
        <v>1254</v>
      </c>
      <c r="J183" s="11" t="s">
        <v>1259</v>
      </c>
      <c r="K183" s="13" t="s">
        <v>1260</v>
      </c>
      <c r="L183" s="20"/>
      <c r="M183" s="16"/>
      <c r="N183" s="16" t="s">
        <v>95</v>
      </c>
    </row>
    <row r="184" customFormat="false" ht="35.05" hidden="false" customHeight="false" outlineLevel="0" collapsed="false">
      <c r="A184" s="11" t="n">
        <v>180</v>
      </c>
      <c r="B184" s="12" t="s">
        <v>1409</v>
      </c>
      <c r="C184" s="13" t="s">
        <v>1410</v>
      </c>
      <c r="D184" s="11" t="s">
        <v>193</v>
      </c>
      <c r="E184" s="13" t="s">
        <v>1372</v>
      </c>
      <c r="F184" s="13" t="s">
        <v>1302</v>
      </c>
      <c r="G184" s="13" t="s">
        <v>1252</v>
      </c>
      <c r="H184" s="13"/>
      <c r="I184" s="19" t="s">
        <v>1254</v>
      </c>
      <c r="J184" s="11" t="s">
        <v>1267</v>
      </c>
      <c r="K184" s="13" t="s">
        <v>1256</v>
      </c>
      <c r="L184" s="20"/>
      <c r="M184" s="16"/>
      <c r="N184" s="16" t="s">
        <v>95</v>
      </c>
    </row>
    <row r="185" customFormat="false" ht="35.05" hidden="false" customHeight="false" outlineLevel="0" collapsed="false">
      <c r="A185" s="11" t="n">
        <v>181</v>
      </c>
      <c r="B185" s="12" t="s">
        <v>374</v>
      </c>
      <c r="C185" s="13" t="s">
        <v>374</v>
      </c>
      <c r="D185" s="11" t="s">
        <v>193</v>
      </c>
      <c r="E185" s="13" t="s">
        <v>1372</v>
      </c>
      <c r="F185" s="13" t="s">
        <v>1302</v>
      </c>
      <c r="G185" s="13" t="s">
        <v>1252</v>
      </c>
      <c r="H185" s="13"/>
      <c r="I185" s="19" t="s">
        <v>1254</v>
      </c>
      <c r="J185" s="11" t="s">
        <v>1267</v>
      </c>
      <c r="K185" s="13" t="s">
        <v>1256</v>
      </c>
      <c r="L185" s="20"/>
      <c r="M185" s="16"/>
      <c r="N185" s="16" t="s">
        <v>95</v>
      </c>
    </row>
    <row r="186" customFormat="false" ht="46.25" hidden="false" customHeight="false" outlineLevel="0" collapsed="false">
      <c r="A186" s="11" t="n">
        <v>182</v>
      </c>
      <c r="B186" s="12" t="s">
        <v>1411</v>
      </c>
      <c r="C186" s="13" t="s">
        <v>612</v>
      </c>
      <c r="D186" s="11" t="s">
        <v>193</v>
      </c>
      <c r="E186" s="13" t="s">
        <v>1372</v>
      </c>
      <c r="F186" s="13" t="s">
        <v>1258</v>
      </c>
      <c r="G186" s="13" t="s">
        <v>1252</v>
      </c>
      <c r="H186" s="13" t="s">
        <v>1253</v>
      </c>
      <c r="I186" s="19" t="s">
        <v>1254</v>
      </c>
      <c r="J186" s="11" t="s">
        <v>1267</v>
      </c>
      <c r="K186" s="13" t="s">
        <v>1256</v>
      </c>
      <c r="L186" s="20"/>
      <c r="M186" s="16"/>
      <c r="N186" s="16" t="s">
        <v>95</v>
      </c>
    </row>
    <row r="187" customFormat="false" ht="46.25" hidden="false" customHeight="false" outlineLevel="0" collapsed="false">
      <c r="A187" s="11" t="n">
        <v>183</v>
      </c>
      <c r="B187" s="12" t="s">
        <v>1412</v>
      </c>
      <c r="C187" s="13" t="s">
        <v>615</v>
      </c>
      <c r="D187" s="11" t="s">
        <v>193</v>
      </c>
      <c r="E187" s="13" t="s">
        <v>1372</v>
      </c>
      <c r="F187" s="13" t="s">
        <v>1258</v>
      </c>
      <c r="G187" s="13" t="s">
        <v>1252</v>
      </c>
      <c r="H187" s="13" t="s">
        <v>1253</v>
      </c>
      <c r="I187" s="19" t="s">
        <v>1254</v>
      </c>
      <c r="J187" s="11" t="s">
        <v>1267</v>
      </c>
      <c r="K187" s="13" t="s">
        <v>1256</v>
      </c>
      <c r="L187" s="20"/>
      <c r="M187" s="16"/>
      <c r="N187" s="16" t="s">
        <v>95</v>
      </c>
    </row>
    <row r="188" customFormat="false" ht="35.05" hidden="false" customHeight="false" outlineLevel="0" collapsed="false">
      <c r="A188" s="11" t="n">
        <v>184</v>
      </c>
      <c r="B188" s="12" t="s">
        <v>652</v>
      </c>
      <c r="C188" s="13" t="s">
        <v>652</v>
      </c>
      <c r="D188" s="11" t="s">
        <v>193</v>
      </c>
      <c r="E188" s="13" t="s">
        <v>1372</v>
      </c>
      <c r="F188" s="13" t="s">
        <v>1302</v>
      </c>
      <c r="G188" s="13" t="s">
        <v>1252</v>
      </c>
      <c r="H188" s="13" t="s">
        <v>1253</v>
      </c>
      <c r="I188" s="19" t="s">
        <v>1254</v>
      </c>
      <c r="J188" s="11" t="s">
        <v>1267</v>
      </c>
      <c r="K188" s="13" t="s">
        <v>1256</v>
      </c>
      <c r="L188" s="20"/>
      <c r="M188" s="16"/>
      <c r="N188" s="16" t="s">
        <v>95</v>
      </c>
    </row>
    <row r="189" customFormat="false" ht="35.05" hidden="false" customHeight="false" outlineLevel="0" collapsed="false">
      <c r="A189" s="11" t="n">
        <v>185</v>
      </c>
      <c r="B189" s="12" t="s">
        <v>1413</v>
      </c>
      <c r="C189" s="13" t="s">
        <v>659</v>
      </c>
      <c r="D189" s="11" t="s">
        <v>193</v>
      </c>
      <c r="E189" s="13" t="s">
        <v>1372</v>
      </c>
      <c r="F189" s="13" t="s">
        <v>1302</v>
      </c>
      <c r="G189" s="13" t="s">
        <v>1252</v>
      </c>
      <c r="H189" s="13" t="s">
        <v>1253</v>
      </c>
      <c r="I189" s="19" t="s">
        <v>1254</v>
      </c>
      <c r="J189" s="11" t="s">
        <v>1267</v>
      </c>
      <c r="K189" s="13" t="s">
        <v>1256</v>
      </c>
      <c r="L189" s="20"/>
      <c r="M189" s="16"/>
      <c r="N189" s="16" t="s">
        <v>95</v>
      </c>
    </row>
    <row r="190" customFormat="false" ht="35.05" hidden="false" customHeight="false" outlineLevel="0" collapsed="false">
      <c r="A190" s="11" t="n">
        <v>186</v>
      </c>
      <c r="B190" s="12" t="s">
        <v>1414</v>
      </c>
      <c r="C190" s="13" t="s">
        <v>664</v>
      </c>
      <c r="D190" s="11" t="s">
        <v>193</v>
      </c>
      <c r="E190" s="13" t="s">
        <v>1372</v>
      </c>
      <c r="F190" s="13" t="s">
        <v>1302</v>
      </c>
      <c r="G190" s="13" t="s">
        <v>1252</v>
      </c>
      <c r="H190" s="13" t="s">
        <v>1253</v>
      </c>
      <c r="I190" s="19" t="s">
        <v>1254</v>
      </c>
      <c r="J190" s="11" t="s">
        <v>1267</v>
      </c>
      <c r="K190" s="13" t="s">
        <v>1256</v>
      </c>
      <c r="L190" s="20"/>
      <c r="M190" s="16"/>
      <c r="N190" s="16" t="s">
        <v>95</v>
      </c>
    </row>
    <row r="191" customFormat="false" ht="35.05" hidden="false" customHeight="false" outlineLevel="0" collapsed="false">
      <c r="A191" s="11" t="n">
        <v>187</v>
      </c>
      <c r="B191" s="12" t="s">
        <v>668</v>
      </c>
      <c r="C191" s="13" t="s">
        <v>668</v>
      </c>
      <c r="D191" s="11" t="s">
        <v>193</v>
      </c>
      <c r="E191" s="13" t="s">
        <v>1372</v>
      </c>
      <c r="F191" s="13" t="s">
        <v>1302</v>
      </c>
      <c r="G191" s="13" t="s">
        <v>1252</v>
      </c>
      <c r="H191" s="13" t="s">
        <v>1253</v>
      </c>
      <c r="I191" s="19" t="s">
        <v>1254</v>
      </c>
      <c r="J191" s="11" t="s">
        <v>1267</v>
      </c>
      <c r="K191" s="13" t="s">
        <v>1256</v>
      </c>
      <c r="L191" s="20"/>
      <c r="M191" s="16"/>
      <c r="N191" s="16" t="s">
        <v>95</v>
      </c>
    </row>
    <row r="192" customFormat="false" ht="46.25" hidden="false" customHeight="false" outlineLevel="0" collapsed="false">
      <c r="A192" s="11" t="n">
        <v>188</v>
      </c>
      <c r="B192" s="12" t="s">
        <v>1415</v>
      </c>
      <c r="C192" s="13" t="s">
        <v>774</v>
      </c>
      <c r="D192" s="11" t="s">
        <v>193</v>
      </c>
      <c r="E192" s="13" t="s">
        <v>1372</v>
      </c>
      <c r="F192" s="13" t="s">
        <v>1251</v>
      </c>
      <c r="G192" s="13" t="s">
        <v>1252</v>
      </c>
      <c r="H192" s="13"/>
      <c r="I192" s="19" t="s">
        <v>1254</v>
      </c>
      <c r="J192" s="11" t="s">
        <v>1273</v>
      </c>
      <c r="K192" s="13" t="s">
        <v>1260</v>
      </c>
      <c r="L192" s="20"/>
      <c r="M192" s="16"/>
      <c r="N192" s="16" t="s">
        <v>95</v>
      </c>
    </row>
    <row r="193" customFormat="false" ht="35.05" hidden="false" customHeight="false" outlineLevel="0" collapsed="false">
      <c r="A193" s="11" t="n">
        <v>189</v>
      </c>
      <c r="B193" s="12" t="s">
        <v>779</v>
      </c>
      <c r="C193" s="13" t="s">
        <v>1416</v>
      </c>
      <c r="D193" s="11" t="s">
        <v>193</v>
      </c>
      <c r="E193" s="13" t="s">
        <v>1372</v>
      </c>
      <c r="F193" s="13" t="s">
        <v>1270</v>
      </c>
      <c r="G193" s="13" t="s">
        <v>1252</v>
      </c>
      <c r="H193" s="13"/>
      <c r="I193" s="19" t="s">
        <v>1254</v>
      </c>
      <c r="J193" s="11" t="s">
        <v>1267</v>
      </c>
      <c r="K193" s="13" t="s">
        <v>1256</v>
      </c>
      <c r="L193" s="20"/>
      <c r="M193" s="16"/>
      <c r="N193" s="16" t="s">
        <v>95</v>
      </c>
    </row>
    <row r="194" customFormat="false" ht="46.25" hidden="false" customHeight="false" outlineLevel="0" collapsed="false">
      <c r="A194" s="11" t="n">
        <v>190</v>
      </c>
      <c r="B194" s="12" t="s">
        <v>834</v>
      </c>
      <c r="C194" s="13" t="s">
        <v>1417</v>
      </c>
      <c r="D194" s="11" t="s">
        <v>193</v>
      </c>
      <c r="E194" s="13" t="s">
        <v>1372</v>
      </c>
      <c r="F194" s="13" t="s">
        <v>1291</v>
      </c>
      <c r="G194" s="13" t="s">
        <v>1252</v>
      </c>
      <c r="H194" s="13"/>
      <c r="I194" s="19" t="s">
        <v>1254</v>
      </c>
      <c r="J194" s="11" t="s">
        <v>1278</v>
      </c>
      <c r="K194" s="13" t="s">
        <v>1256</v>
      </c>
      <c r="L194" s="20"/>
      <c r="M194" s="16"/>
      <c r="N194" s="16" t="s">
        <v>95</v>
      </c>
    </row>
    <row r="195" customFormat="false" ht="46.25" hidden="false" customHeight="false" outlineLevel="0" collapsed="false">
      <c r="A195" s="11" t="n">
        <v>191</v>
      </c>
      <c r="B195" s="12" t="s">
        <v>842</v>
      </c>
      <c r="C195" s="13" t="s">
        <v>1418</v>
      </c>
      <c r="D195" s="11" t="s">
        <v>193</v>
      </c>
      <c r="E195" s="13" t="s">
        <v>1372</v>
      </c>
      <c r="F195" s="13" t="s">
        <v>1291</v>
      </c>
      <c r="G195" s="13" t="s">
        <v>1252</v>
      </c>
      <c r="H195" s="13"/>
      <c r="I195" s="19" t="s">
        <v>1254</v>
      </c>
      <c r="J195" s="11" t="s">
        <v>1278</v>
      </c>
      <c r="K195" s="13" t="s">
        <v>1256</v>
      </c>
      <c r="L195" s="20"/>
      <c r="M195" s="16"/>
      <c r="N195" s="16" t="s">
        <v>95</v>
      </c>
    </row>
    <row r="196" customFormat="false" ht="46.25" hidden="false" customHeight="false" outlineLevel="0" collapsed="false">
      <c r="A196" s="11" t="n">
        <v>192</v>
      </c>
      <c r="B196" s="12" t="s">
        <v>846</v>
      </c>
      <c r="C196" s="13" t="s">
        <v>1419</v>
      </c>
      <c r="D196" s="11" t="s">
        <v>193</v>
      </c>
      <c r="E196" s="13" t="s">
        <v>1372</v>
      </c>
      <c r="F196" s="13" t="s">
        <v>1291</v>
      </c>
      <c r="G196" s="13" t="s">
        <v>1252</v>
      </c>
      <c r="H196" s="13"/>
      <c r="I196" s="19" t="s">
        <v>1254</v>
      </c>
      <c r="J196" s="11" t="s">
        <v>1278</v>
      </c>
      <c r="K196" s="13" t="s">
        <v>1256</v>
      </c>
      <c r="L196" s="20"/>
      <c r="M196" s="16"/>
      <c r="N196" s="16" t="s">
        <v>95</v>
      </c>
    </row>
    <row r="197" customFormat="false" ht="46.25" hidden="false" customHeight="false" outlineLevel="0" collapsed="false">
      <c r="A197" s="11" t="n">
        <v>193</v>
      </c>
      <c r="B197" s="12" t="s">
        <v>1420</v>
      </c>
      <c r="C197" s="13" t="s">
        <v>1064</v>
      </c>
      <c r="D197" s="11" t="s">
        <v>193</v>
      </c>
      <c r="E197" s="13" t="s">
        <v>1372</v>
      </c>
      <c r="F197" s="13" t="s">
        <v>1251</v>
      </c>
      <c r="G197" s="13" t="s">
        <v>1252</v>
      </c>
      <c r="H197" s="13"/>
      <c r="I197" s="19" t="s">
        <v>1254</v>
      </c>
      <c r="J197" s="11" t="s">
        <v>1267</v>
      </c>
      <c r="K197" s="13" t="s">
        <v>1256</v>
      </c>
      <c r="L197" s="20"/>
      <c r="M197" s="16"/>
      <c r="N197" s="16" t="s">
        <v>95</v>
      </c>
    </row>
    <row r="198" customFormat="false" ht="46.25" hidden="false" customHeight="false" outlineLevel="0" collapsed="false">
      <c r="A198" s="11" t="n">
        <v>194</v>
      </c>
      <c r="B198" s="12" t="s">
        <v>1421</v>
      </c>
      <c r="C198" s="13" t="s">
        <v>1068</v>
      </c>
      <c r="D198" s="11" t="s">
        <v>193</v>
      </c>
      <c r="E198" s="13" t="s">
        <v>1372</v>
      </c>
      <c r="F198" s="13" t="s">
        <v>1251</v>
      </c>
      <c r="G198" s="13" t="s">
        <v>1252</v>
      </c>
      <c r="H198" s="13"/>
      <c r="I198" s="19" t="s">
        <v>1254</v>
      </c>
      <c r="J198" s="11" t="s">
        <v>1267</v>
      </c>
      <c r="K198" s="13" t="s">
        <v>1256</v>
      </c>
      <c r="L198" s="20"/>
      <c r="M198" s="16"/>
      <c r="N198" s="16" t="s">
        <v>95</v>
      </c>
    </row>
    <row r="199" customFormat="false" ht="35.05" hidden="false" customHeight="false" outlineLevel="0" collapsed="false">
      <c r="A199" s="11" t="n">
        <v>195</v>
      </c>
      <c r="B199" s="12" t="s">
        <v>1185</v>
      </c>
      <c r="C199" s="13" t="s">
        <v>1422</v>
      </c>
      <c r="D199" s="11" t="s">
        <v>193</v>
      </c>
      <c r="E199" s="13" t="s">
        <v>1372</v>
      </c>
      <c r="F199" s="13" t="s">
        <v>1302</v>
      </c>
      <c r="G199" s="13" t="s">
        <v>1252</v>
      </c>
      <c r="H199" s="13"/>
      <c r="I199" s="19" t="s">
        <v>1254</v>
      </c>
      <c r="J199" s="11" t="s">
        <v>1267</v>
      </c>
      <c r="K199" s="13" t="s">
        <v>1256</v>
      </c>
      <c r="L199" s="20"/>
      <c r="M199" s="16"/>
      <c r="N199" s="16" t="s">
        <v>95</v>
      </c>
    </row>
    <row r="200" customFormat="false" ht="46.25" hidden="false" customHeight="false" outlineLevel="0" collapsed="false">
      <c r="A200" s="11" t="n">
        <v>196</v>
      </c>
      <c r="B200" s="12" t="s">
        <v>1190</v>
      </c>
      <c r="C200" s="13" t="s">
        <v>1423</v>
      </c>
      <c r="D200" s="11" t="s">
        <v>193</v>
      </c>
      <c r="E200" s="13" t="s">
        <v>1372</v>
      </c>
      <c r="F200" s="13" t="s">
        <v>1258</v>
      </c>
      <c r="G200" s="13" t="s">
        <v>1252</v>
      </c>
      <c r="H200" s="13"/>
      <c r="I200" s="19" t="s">
        <v>1254</v>
      </c>
      <c r="J200" s="11" t="s">
        <v>1273</v>
      </c>
      <c r="K200" s="13" t="s">
        <v>1262</v>
      </c>
      <c r="L200" s="20"/>
      <c r="M200" s="16"/>
      <c r="N200" s="16" t="s">
        <v>95</v>
      </c>
    </row>
    <row r="201" customFormat="false" ht="35.05" hidden="false" customHeight="false" outlineLevel="0" collapsed="false">
      <c r="A201" s="11" t="n">
        <v>197</v>
      </c>
      <c r="B201" s="12" t="s">
        <v>1194</v>
      </c>
      <c r="C201" s="13" t="s">
        <v>1424</v>
      </c>
      <c r="D201" s="11" t="s">
        <v>193</v>
      </c>
      <c r="E201" s="13" t="s">
        <v>1372</v>
      </c>
      <c r="F201" s="13" t="s">
        <v>1302</v>
      </c>
      <c r="G201" s="13" t="s">
        <v>1252</v>
      </c>
      <c r="H201" s="13"/>
      <c r="I201" s="19" t="s">
        <v>1254</v>
      </c>
      <c r="J201" s="11" t="s">
        <v>1273</v>
      </c>
      <c r="K201" s="13" t="s">
        <v>1262</v>
      </c>
      <c r="L201" s="20"/>
      <c r="M201" s="16"/>
      <c r="N201" s="16" t="s">
        <v>95</v>
      </c>
    </row>
    <row r="202" customFormat="false" ht="35.05" hidden="false" customHeight="false" outlineLevel="0" collapsed="false">
      <c r="A202" s="11" t="n">
        <v>198</v>
      </c>
      <c r="B202" s="12" t="s">
        <v>1208</v>
      </c>
      <c r="C202" s="13" t="s">
        <v>1208</v>
      </c>
      <c r="D202" s="11" t="s">
        <v>193</v>
      </c>
      <c r="E202" s="13" t="s">
        <v>1372</v>
      </c>
      <c r="F202" s="13" t="s">
        <v>1270</v>
      </c>
      <c r="G202" s="13" t="s">
        <v>1252</v>
      </c>
      <c r="H202" s="13"/>
      <c r="I202" s="19" t="s">
        <v>1254</v>
      </c>
      <c r="J202" s="11" t="s">
        <v>1273</v>
      </c>
      <c r="K202" s="13" t="s">
        <v>1262</v>
      </c>
      <c r="L202" s="20"/>
      <c r="M202" s="16"/>
      <c r="N202" s="16" t="s">
        <v>95</v>
      </c>
    </row>
    <row r="203" customFormat="false" ht="46.25" hidden="false" customHeight="false" outlineLevel="0" collapsed="false">
      <c r="A203" s="11" t="n">
        <v>199</v>
      </c>
      <c r="B203" s="12" t="s">
        <v>1213</v>
      </c>
      <c r="C203" s="13" t="s">
        <v>1425</v>
      </c>
      <c r="D203" s="11" t="s">
        <v>193</v>
      </c>
      <c r="E203" s="13" t="s">
        <v>1372</v>
      </c>
      <c r="F203" s="13" t="s">
        <v>1275</v>
      </c>
      <c r="G203" s="13" t="s">
        <v>1252</v>
      </c>
      <c r="H203" s="13"/>
      <c r="I203" s="19" t="s">
        <v>1254</v>
      </c>
      <c r="J203" s="11" t="s">
        <v>1273</v>
      </c>
      <c r="K203" s="13" t="s">
        <v>1262</v>
      </c>
      <c r="L203" s="20"/>
      <c r="M203" s="16"/>
      <c r="N203" s="16" t="s">
        <v>95</v>
      </c>
    </row>
    <row r="204" customFormat="false" ht="46.25" hidden="false" customHeight="false" outlineLevel="0" collapsed="false">
      <c r="A204" s="11" t="n">
        <v>200</v>
      </c>
      <c r="B204" s="12" t="s">
        <v>1219</v>
      </c>
      <c r="C204" s="13" t="s">
        <v>1426</v>
      </c>
      <c r="D204" s="11" t="s">
        <v>193</v>
      </c>
      <c r="E204" s="13" t="s">
        <v>1372</v>
      </c>
      <c r="F204" s="13" t="s">
        <v>1258</v>
      </c>
      <c r="G204" s="13" t="s">
        <v>1252</v>
      </c>
      <c r="H204" s="13"/>
      <c r="I204" s="19" t="s">
        <v>1254</v>
      </c>
      <c r="J204" s="11" t="s">
        <v>1273</v>
      </c>
      <c r="K204" s="13" t="s">
        <v>1262</v>
      </c>
      <c r="L204" s="20"/>
      <c r="M204" s="16"/>
      <c r="N204" s="16" t="s">
        <v>95</v>
      </c>
    </row>
    <row r="205" customFormat="false" ht="46.25" hidden="false" customHeight="false" outlineLevel="0" collapsed="false">
      <c r="A205" s="11" t="n">
        <v>201</v>
      </c>
      <c r="B205" s="12" t="s">
        <v>1223</v>
      </c>
      <c r="C205" s="13" t="s">
        <v>1427</v>
      </c>
      <c r="D205" s="11" t="s">
        <v>193</v>
      </c>
      <c r="E205" s="13" t="s">
        <v>1372</v>
      </c>
      <c r="F205" s="13" t="s">
        <v>1311</v>
      </c>
      <c r="G205" s="13" t="s">
        <v>1252</v>
      </c>
      <c r="H205" s="13"/>
      <c r="I205" s="19" t="s">
        <v>1254</v>
      </c>
      <c r="J205" s="11" t="s">
        <v>1273</v>
      </c>
      <c r="K205" s="13" t="s">
        <v>1262</v>
      </c>
      <c r="L205" s="20"/>
      <c r="M205" s="16"/>
      <c r="N205" s="16" t="s">
        <v>95</v>
      </c>
    </row>
    <row r="206" customFormat="false" ht="46.25" hidden="false" customHeight="false" outlineLevel="0" collapsed="false">
      <c r="A206" s="11" t="n">
        <v>202</v>
      </c>
      <c r="B206" s="12" t="s">
        <v>1226</v>
      </c>
      <c r="C206" s="13" t="s">
        <v>1226</v>
      </c>
      <c r="D206" s="11" t="s">
        <v>193</v>
      </c>
      <c r="E206" s="13" t="s">
        <v>1372</v>
      </c>
      <c r="F206" s="13" t="s">
        <v>1258</v>
      </c>
      <c r="G206" s="13" t="s">
        <v>1252</v>
      </c>
      <c r="H206" s="13"/>
      <c r="I206" s="19" t="s">
        <v>1254</v>
      </c>
      <c r="J206" s="11" t="s">
        <v>1273</v>
      </c>
      <c r="K206" s="13" t="s">
        <v>1262</v>
      </c>
      <c r="L206" s="20"/>
      <c r="M206" s="16"/>
      <c r="N206" s="16" t="s">
        <v>95</v>
      </c>
    </row>
    <row r="207" customFormat="false" ht="35.05" hidden="false" customHeight="false" outlineLevel="0" collapsed="false">
      <c r="A207" s="11" t="n">
        <v>203</v>
      </c>
      <c r="B207" s="12" t="s">
        <v>1228</v>
      </c>
      <c r="C207" s="13" t="s">
        <v>1428</v>
      </c>
      <c r="D207" s="11" t="s">
        <v>193</v>
      </c>
      <c r="E207" s="13" t="s">
        <v>1372</v>
      </c>
      <c r="F207" s="13" t="s">
        <v>1293</v>
      </c>
      <c r="G207" s="13" t="s">
        <v>1252</v>
      </c>
      <c r="H207" s="13"/>
      <c r="I207" s="19" t="s">
        <v>1254</v>
      </c>
      <c r="J207" s="11" t="s">
        <v>1273</v>
      </c>
      <c r="K207" s="13" t="s">
        <v>1262</v>
      </c>
      <c r="L207" s="20"/>
      <c r="M207" s="16"/>
      <c r="N207" s="16" t="s">
        <v>95</v>
      </c>
    </row>
    <row r="208" customFormat="false" ht="46.25" hidden="false" customHeight="false" outlineLevel="0" collapsed="false">
      <c r="A208" s="11" t="n">
        <v>204</v>
      </c>
      <c r="B208" s="12" t="s">
        <v>1232</v>
      </c>
      <c r="C208" s="13" t="s">
        <v>1232</v>
      </c>
      <c r="D208" s="11" t="s">
        <v>193</v>
      </c>
      <c r="E208" s="13" t="s">
        <v>1372</v>
      </c>
      <c r="F208" s="13" t="s">
        <v>1266</v>
      </c>
      <c r="G208" s="13" t="s">
        <v>1252</v>
      </c>
      <c r="H208" s="13"/>
      <c r="I208" s="19" t="s">
        <v>1254</v>
      </c>
      <c r="J208" s="11" t="s">
        <v>1273</v>
      </c>
      <c r="K208" s="13" t="s">
        <v>1262</v>
      </c>
      <c r="L208" s="20"/>
      <c r="M208" s="16"/>
      <c r="N208" s="16" t="s">
        <v>95</v>
      </c>
    </row>
  </sheetData>
  <autoFilter ref="A4:N208"/>
  <mergeCells count="1">
    <mergeCell ref="A2:N2"/>
  </mergeCells>
  <dataValidations count="1">
    <dataValidation allowBlank="true" errorStyle="stop" operator="between" showDropDown="false" showErrorMessage="false" showInputMessage="false" sqref="N5:N208" type="list">
      <formula1>"Not started,Searching,Saved to project,InMail sent,Replied,Meeting set,Dead"</formula1>
      <formula2>0</formula2>
    </dataValidation>
  </dataValidations>
  <hyperlinks>
    <hyperlink ref="I5" r:id="rId1" display="Open search"/>
    <hyperlink ref="I6" r:id="rId2" display="Open search"/>
    <hyperlink ref="I7" r:id="rId3" display="Open search"/>
    <hyperlink ref="I8" r:id="rId4" display="Open search"/>
    <hyperlink ref="I9" r:id="rId5" display="Open search"/>
    <hyperlink ref="I10" r:id="rId6" display="Open search"/>
    <hyperlink ref="I11" r:id="rId7" display="Open search"/>
    <hyperlink ref="I12" r:id="rId8" display="Open search"/>
    <hyperlink ref="I13" r:id="rId9" display="Open search"/>
    <hyperlink ref="I14" r:id="rId10" display="Open search"/>
    <hyperlink ref="I15" r:id="rId11" display="Open search"/>
    <hyperlink ref="I16" r:id="rId12" display="Open search"/>
    <hyperlink ref="I17" r:id="rId13" display="Open search"/>
    <hyperlink ref="I18" r:id="rId14" display="Open search"/>
    <hyperlink ref="I19" r:id="rId15" display="Open search"/>
    <hyperlink ref="I20" r:id="rId16" display="Open search"/>
    <hyperlink ref="I21" r:id="rId17" display="Open search"/>
    <hyperlink ref="I22" r:id="rId18" display="Open search"/>
    <hyperlink ref="I23" r:id="rId19" display="Open search"/>
    <hyperlink ref="I24" r:id="rId20" display="Open search"/>
    <hyperlink ref="I25" r:id="rId21" display="Open search"/>
    <hyperlink ref="I26" r:id="rId22" display="Open search"/>
    <hyperlink ref="I27" r:id="rId23" display="Open search"/>
    <hyperlink ref="I28" r:id="rId24" display="Open search"/>
    <hyperlink ref="I29" r:id="rId25" display="Open search"/>
    <hyperlink ref="I30" r:id="rId26" display="Open search"/>
    <hyperlink ref="I31" r:id="rId27" display="Open search"/>
    <hyperlink ref="I32" r:id="rId28" display="Open search"/>
    <hyperlink ref="I33" r:id="rId29" display="Open search"/>
    <hyperlink ref="I34" r:id="rId30" display="Open search"/>
    <hyperlink ref="I35" r:id="rId31" display="Open search"/>
    <hyperlink ref="I36" r:id="rId32" display="Open search"/>
    <hyperlink ref="I37" r:id="rId33" display="Open search"/>
    <hyperlink ref="I38" r:id="rId34" display="Open search"/>
    <hyperlink ref="I39" r:id="rId35" display="Open search"/>
    <hyperlink ref="I40" r:id="rId36" display="Open search"/>
    <hyperlink ref="I41" r:id="rId37" display="Open search"/>
    <hyperlink ref="I42" r:id="rId38" display="Open search"/>
    <hyperlink ref="I43" r:id="rId39" display="Open search"/>
    <hyperlink ref="I44" r:id="rId40" display="Open search"/>
    <hyperlink ref="I45" r:id="rId41" display="Open search"/>
    <hyperlink ref="I46" r:id="rId42" display="Open search"/>
    <hyperlink ref="I47" r:id="rId43" display="Open search"/>
    <hyperlink ref="I48" r:id="rId44" display="Open search"/>
    <hyperlink ref="I49" r:id="rId45" display="Open search"/>
    <hyperlink ref="I50" r:id="rId46" display="Open search"/>
    <hyperlink ref="I51" r:id="rId47" display="Open search"/>
    <hyperlink ref="I52" r:id="rId48" display="Open search"/>
    <hyperlink ref="I53" r:id="rId49" display="Open search"/>
    <hyperlink ref="I54" r:id="rId50" display="Open search"/>
    <hyperlink ref="I55" r:id="rId51" display="Open search"/>
    <hyperlink ref="I56" r:id="rId52" display="Open search"/>
    <hyperlink ref="I57" r:id="rId53" display="Open search"/>
    <hyperlink ref="I58" r:id="rId54" display="Open search"/>
    <hyperlink ref="I59" r:id="rId55" display="Open search"/>
    <hyperlink ref="I60" r:id="rId56" display="Open search"/>
    <hyperlink ref="I61" r:id="rId57" display="Open search"/>
    <hyperlink ref="I62" r:id="rId58" display="Open search"/>
    <hyperlink ref="I63" r:id="rId59" display="Open search"/>
    <hyperlink ref="I64" r:id="rId60" display="Open search"/>
    <hyperlink ref="I65" r:id="rId61" display="Open search"/>
    <hyperlink ref="I66" r:id="rId62" display="Open search"/>
    <hyperlink ref="I67" r:id="rId63" display="Open search"/>
    <hyperlink ref="I68" r:id="rId64" display="Open search"/>
    <hyperlink ref="I69" r:id="rId65" display="Open search"/>
    <hyperlink ref="I70" r:id="rId66" display="Open search"/>
    <hyperlink ref="I71" r:id="rId67" display="Open search"/>
    <hyperlink ref="I72" r:id="rId68" display="Open search"/>
    <hyperlink ref="I73" r:id="rId69" display="Open search"/>
    <hyperlink ref="I74" r:id="rId70" display="Open search"/>
    <hyperlink ref="I75" r:id="rId71" display="Open search"/>
    <hyperlink ref="I76" r:id="rId72" display="Open search"/>
    <hyperlink ref="I77" r:id="rId73" display="Open search"/>
    <hyperlink ref="I78" r:id="rId74" display="Open search"/>
    <hyperlink ref="I79" r:id="rId75" display="Open search"/>
    <hyperlink ref="I80" r:id="rId76" display="Open search"/>
    <hyperlink ref="I81" r:id="rId77" display="Open search"/>
    <hyperlink ref="I82" r:id="rId78" display="Open search"/>
    <hyperlink ref="I83" r:id="rId79" display="Open search"/>
    <hyperlink ref="I84" r:id="rId80" display="Open search"/>
    <hyperlink ref="I85" r:id="rId81" display="Open search"/>
    <hyperlink ref="I86" r:id="rId82" display="Open search"/>
    <hyperlink ref="I87" r:id="rId83" display="Open search"/>
    <hyperlink ref="I88" r:id="rId84" display="Open search"/>
    <hyperlink ref="I89" r:id="rId85" display="Open search"/>
    <hyperlink ref="I90" r:id="rId86" display="Open search"/>
    <hyperlink ref="I91" r:id="rId87" display="Open search"/>
    <hyperlink ref="I92" r:id="rId88" display="Open search"/>
    <hyperlink ref="I93" r:id="rId89" display="Open search"/>
    <hyperlink ref="I94" r:id="rId90" display="Open search"/>
    <hyperlink ref="I95" r:id="rId91" display="Open search"/>
    <hyperlink ref="I96" r:id="rId92" display="Open search"/>
    <hyperlink ref="I97" r:id="rId93" display="Open search"/>
    <hyperlink ref="I98" r:id="rId94" display="Open search"/>
    <hyperlink ref="I99" r:id="rId95" display="Open search"/>
    <hyperlink ref="I100" r:id="rId96" display="Open search"/>
    <hyperlink ref="I101" r:id="rId97" display="Open search"/>
    <hyperlink ref="I102" r:id="rId98" display="Open search"/>
    <hyperlink ref="I103" r:id="rId99" display="Open search"/>
    <hyperlink ref="I104" r:id="rId100" display="Open search"/>
    <hyperlink ref="I105" r:id="rId101" display="Open search"/>
    <hyperlink ref="I106" r:id="rId102" display="Open search"/>
    <hyperlink ref="I107" r:id="rId103" display="Open search"/>
    <hyperlink ref="I108" r:id="rId104" display="Open search"/>
    <hyperlink ref="I109" r:id="rId105" display="Open search"/>
    <hyperlink ref="I110" r:id="rId106" display="Open search"/>
    <hyperlink ref="I111" r:id="rId107" display="Open search"/>
    <hyperlink ref="I112" r:id="rId108" display="Open search"/>
    <hyperlink ref="I113" r:id="rId109" display="Open search"/>
    <hyperlink ref="I114" r:id="rId110" display="Open search"/>
    <hyperlink ref="I115" r:id="rId111" display="Open search"/>
    <hyperlink ref="I116" r:id="rId112" display="Open search"/>
    <hyperlink ref="I117" r:id="rId113" display="Open search"/>
    <hyperlink ref="I118" r:id="rId114" display="Open search"/>
    <hyperlink ref="I119" r:id="rId115" display="Open search"/>
    <hyperlink ref="I120" r:id="rId116" display="Open search"/>
    <hyperlink ref="I121" r:id="rId117" display="Open search"/>
    <hyperlink ref="I122" r:id="rId118" display="Open search"/>
    <hyperlink ref="I123" r:id="rId119" display="Open search"/>
    <hyperlink ref="I124" r:id="rId120" display="Open search"/>
    <hyperlink ref="I125" r:id="rId121" display="Open search"/>
    <hyperlink ref="I126" r:id="rId122" display="Open search"/>
    <hyperlink ref="I127" r:id="rId123" display="Open search"/>
    <hyperlink ref="I128" r:id="rId124" display="Open search"/>
    <hyperlink ref="I129" r:id="rId125" display="Open search"/>
    <hyperlink ref="I130" r:id="rId126" display="Open search"/>
    <hyperlink ref="I131" r:id="rId127" display="Open search"/>
    <hyperlink ref="I132" r:id="rId128" display="Open search"/>
    <hyperlink ref="I133" r:id="rId129" display="Open search"/>
    <hyperlink ref="I134" r:id="rId130" display="Open search"/>
    <hyperlink ref="I135" r:id="rId131" display="Open search"/>
    <hyperlink ref="I136" r:id="rId132" display="Open search"/>
    <hyperlink ref="I137" r:id="rId133" display="Open search"/>
    <hyperlink ref="I138" r:id="rId134" display="Open search"/>
    <hyperlink ref="I139" r:id="rId135" display="Open search"/>
    <hyperlink ref="I140" r:id="rId136" display="Open search"/>
    <hyperlink ref="I141" r:id="rId137" display="Open search"/>
    <hyperlink ref="I142" r:id="rId138" display="Open search"/>
    <hyperlink ref="I143" r:id="rId139" display="Open search"/>
    <hyperlink ref="I144" r:id="rId140" display="Open search"/>
    <hyperlink ref="I145" r:id="rId141" display="Open search"/>
    <hyperlink ref="I146" r:id="rId142" display="Open search"/>
    <hyperlink ref="I147" r:id="rId143" display="Open search"/>
    <hyperlink ref="I148" r:id="rId144" display="Open search"/>
    <hyperlink ref="I149" r:id="rId145" display="Open search"/>
    <hyperlink ref="I150" r:id="rId146" display="Open search"/>
    <hyperlink ref="I151" r:id="rId147" display="Open search"/>
    <hyperlink ref="I152" r:id="rId148" display="Open search"/>
    <hyperlink ref="I153" r:id="rId149" display="Open search"/>
    <hyperlink ref="I154" r:id="rId150" display="Open search"/>
    <hyperlink ref="I155" r:id="rId151" display="Open search"/>
    <hyperlink ref="I156" r:id="rId152" display="Open search"/>
    <hyperlink ref="I157" r:id="rId153" display="Open search"/>
    <hyperlink ref="I158" r:id="rId154" display="Open search"/>
    <hyperlink ref="I159" r:id="rId155" display="Open search"/>
    <hyperlink ref="I160" r:id="rId156" display="Open search"/>
    <hyperlink ref="I161" r:id="rId157" display="Open search"/>
    <hyperlink ref="I162" r:id="rId158" display="Open search"/>
    <hyperlink ref="I163" r:id="rId159" display="Open search"/>
    <hyperlink ref="I164" r:id="rId160" display="Open search"/>
    <hyperlink ref="I165" r:id="rId161" display="Open search"/>
    <hyperlink ref="I166" r:id="rId162" display="Open search"/>
    <hyperlink ref="I167" r:id="rId163" display="Open search"/>
    <hyperlink ref="I168" r:id="rId164" display="Open search"/>
    <hyperlink ref="I169" r:id="rId165" display="Open search"/>
    <hyperlink ref="I170" r:id="rId166" display="Open search"/>
    <hyperlink ref="I171" r:id="rId167" display="Open search"/>
    <hyperlink ref="I172" r:id="rId168" display="Open search"/>
    <hyperlink ref="I173" r:id="rId169" display="Open search"/>
    <hyperlink ref="I174" r:id="rId170" display="Open search"/>
    <hyperlink ref="I175" r:id="rId171" display="Open search"/>
    <hyperlink ref="I176" r:id="rId172" display="Open search"/>
    <hyperlink ref="I177" r:id="rId173" display="Open search"/>
    <hyperlink ref="I178" r:id="rId174" display="Open search"/>
    <hyperlink ref="I179" r:id="rId175" display="Open search"/>
    <hyperlink ref="I180" r:id="rId176" display="Open search"/>
    <hyperlink ref="I181" r:id="rId177" display="Open search"/>
    <hyperlink ref="I182" r:id="rId178" display="Open search"/>
    <hyperlink ref="I183" r:id="rId179" display="Open search"/>
    <hyperlink ref="I184" r:id="rId180" display="Open search"/>
    <hyperlink ref="I185" r:id="rId181" display="Open search"/>
    <hyperlink ref="I186" r:id="rId182" display="Open search"/>
    <hyperlink ref="I187" r:id="rId183" display="Open search"/>
    <hyperlink ref="I188" r:id="rId184" display="Open search"/>
    <hyperlink ref="I189" r:id="rId185" display="Open search"/>
    <hyperlink ref="I190" r:id="rId186" display="Open search"/>
    <hyperlink ref="I191" r:id="rId187" display="Open search"/>
    <hyperlink ref="I192" r:id="rId188" display="Open search"/>
    <hyperlink ref="I193" r:id="rId189" display="Open search"/>
    <hyperlink ref="I194" r:id="rId190" display="Open search"/>
    <hyperlink ref="I195" r:id="rId191" display="Open search"/>
    <hyperlink ref="I196" r:id="rId192" display="Open search"/>
    <hyperlink ref="I197" r:id="rId193" display="Open search"/>
    <hyperlink ref="I198" r:id="rId194" display="Open search"/>
    <hyperlink ref="I199" r:id="rId195" display="Open search"/>
    <hyperlink ref="I200" r:id="rId196" display="Open search"/>
    <hyperlink ref="I201" r:id="rId197" display="Open search"/>
    <hyperlink ref="I202" r:id="rId198" display="Open search"/>
    <hyperlink ref="I203" r:id="rId199" display="Open search"/>
    <hyperlink ref="I204" r:id="rId200" display="Open search"/>
    <hyperlink ref="I205" r:id="rId201" display="Open search"/>
    <hyperlink ref="I206" r:id="rId202" display="Open search"/>
    <hyperlink ref="I207" r:id="rId203" display="Open search"/>
    <hyperlink ref="I208" r:id="rId204" display="Open search"/>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6"/>
    <col collapsed="false" customWidth="true" hidden="false" outlineLevel="0" max="4" min="4" style="0" width="40"/>
    <col collapsed="false" customWidth="true" hidden="false" outlineLevel="0" max="5" min="5" style="0" width="90"/>
    <col collapsed="false" customWidth="true" hidden="false" outlineLevel="0" max="7" min="6" style="0" width="10"/>
  </cols>
  <sheetData>
    <row r="1" customFormat="false" ht="17.35" hidden="false" customHeight="false" outlineLevel="0" collapsed="false">
      <c r="A1" s="5" t="s">
        <v>1429</v>
      </c>
    </row>
    <row r="2" customFormat="false" ht="30" hidden="false" customHeight="true" outlineLevel="0" collapsed="false">
      <c r="A2" s="9" t="s">
        <v>1430</v>
      </c>
      <c r="B2" s="9"/>
      <c r="C2" s="9"/>
      <c r="D2" s="9"/>
      <c r="E2" s="9"/>
      <c r="F2" s="9"/>
      <c r="G2" s="9"/>
    </row>
    <row r="4" customFormat="false" ht="26.85" hidden="false" customHeight="false" outlineLevel="0" collapsed="false">
      <c r="A4" s="10" t="s">
        <v>1431</v>
      </c>
      <c r="B4" s="10" t="s">
        <v>1432</v>
      </c>
      <c r="C4" s="10" t="s">
        <v>1433</v>
      </c>
      <c r="D4" s="10" t="s">
        <v>1434</v>
      </c>
      <c r="E4" s="10" t="s">
        <v>1435</v>
      </c>
      <c r="F4" s="10" t="s">
        <v>1436</v>
      </c>
      <c r="G4" s="10" t="s">
        <v>1437</v>
      </c>
    </row>
    <row r="5" customFormat="false" ht="181.5" hidden="false" customHeight="true" outlineLevel="0" collapsed="false">
      <c r="A5" s="12" t="s">
        <v>1267</v>
      </c>
      <c r="B5" s="13" t="s">
        <v>1438</v>
      </c>
      <c r="C5" s="13" t="s">
        <v>1439</v>
      </c>
      <c r="D5" s="17" t="s">
        <v>1440</v>
      </c>
      <c r="E5" s="13" t="s">
        <v>1441</v>
      </c>
      <c r="F5" s="11" t="n">
        <f aca="false">LEN(D5)</f>
        <v>31</v>
      </c>
      <c r="G5" s="11" t="n">
        <f aca="false">LEN(E5)</f>
        <v>311</v>
      </c>
    </row>
    <row r="6" customFormat="false" ht="210" hidden="false" customHeight="true" outlineLevel="0" collapsed="false">
      <c r="A6" s="12" t="s">
        <v>1273</v>
      </c>
      <c r="B6" s="13" t="s">
        <v>1438</v>
      </c>
      <c r="C6" s="13" t="s">
        <v>1262</v>
      </c>
      <c r="D6" s="13" t="s">
        <v>1442</v>
      </c>
      <c r="E6" s="13" t="s">
        <v>1443</v>
      </c>
      <c r="F6" s="11" t="n">
        <f aca="false">LEN(D6)</f>
        <v>47</v>
      </c>
      <c r="G6" s="11" t="n">
        <f aca="false">LEN(E6)</f>
        <v>541</v>
      </c>
    </row>
    <row r="7" customFormat="false" ht="126" hidden="false" customHeight="true" outlineLevel="0" collapsed="false">
      <c r="A7" s="12" t="s">
        <v>1255</v>
      </c>
      <c r="B7" s="13" t="s">
        <v>1444</v>
      </c>
      <c r="C7" s="13" t="s">
        <v>1439</v>
      </c>
      <c r="D7" s="17" t="s">
        <v>1445</v>
      </c>
      <c r="E7" s="13" t="s">
        <v>1446</v>
      </c>
      <c r="F7" s="11" t="n">
        <f aca="false">LEN(D7)</f>
        <v>29</v>
      </c>
      <c r="G7" s="11" t="n">
        <f aca="false">LEN(E7)</f>
        <v>219</v>
      </c>
    </row>
    <row r="8" customFormat="false" ht="168" hidden="false" customHeight="true" outlineLevel="0" collapsed="false">
      <c r="A8" s="12" t="s">
        <v>1259</v>
      </c>
      <c r="B8" s="13" t="s">
        <v>1444</v>
      </c>
      <c r="C8" s="13" t="s">
        <v>1262</v>
      </c>
      <c r="D8" s="13" t="s">
        <v>1447</v>
      </c>
      <c r="E8" s="13" t="s">
        <v>1448</v>
      </c>
      <c r="F8" s="11" t="n">
        <f aca="false">LEN(D8)</f>
        <v>56</v>
      </c>
      <c r="G8" s="11" t="n">
        <f aca="false">LEN(E8)</f>
        <v>477</v>
      </c>
    </row>
    <row r="9" customFormat="false" ht="153.75" hidden="false" customHeight="true" outlineLevel="0" collapsed="false">
      <c r="A9" s="12" t="s">
        <v>1278</v>
      </c>
      <c r="B9" s="13" t="s">
        <v>1449</v>
      </c>
      <c r="C9" s="13" t="s">
        <v>1439</v>
      </c>
      <c r="D9" s="13" t="s">
        <v>1450</v>
      </c>
      <c r="E9" s="13" t="s">
        <v>1451</v>
      </c>
      <c r="F9" s="11" t="n">
        <f aca="false">LEN(D9)</f>
        <v>32</v>
      </c>
      <c r="G9" s="11" t="n">
        <f aca="false">LEN(E9)</f>
        <v>234</v>
      </c>
    </row>
    <row r="10" customFormat="false" ht="195.75" hidden="false" customHeight="true" outlineLevel="0" collapsed="false">
      <c r="A10" s="12" t="s">
        <v>1294</v>
      </c>
      <c r="B10" s="13" t="s">
        <v>1449</v>
      </c>
      <c r="C10" s="13" t="s">
        <v>1262</v>
      </c>
      <c r="D10" s="13" t="s">
        <v>1452</v>
      </c>
      <c r="E10" s="13" t="s">
        <v>1453</v>
      </c>
      <c r="F10" s="11" t="n">
        <f aca="false">LEN(D10)</f>
        <v>46</v>
      </c>
      <c r="G10" s="11" t="n">
        <f aca="false">LEN(E10)</f>
        <v>554</v>
      </c>
    </row>
    <row r="11" customFormat="false" ht="153.75" hidden="false" customHeight="true" outlineLevel="0" collapsed="false">
      <c r="A11" s="12" t="s">
        <v>1351</v>
      </c>
      <c r="B11" s="13" t="s">
        <v>1454</v>
      </c>
      <c r="C11" s="13" t="s">
        <v>1439</v>
      </c>
      <c r="D11" s="13" t="s">
        <v>1455</v>
      </c>
      <c r="E11" s="13" t="s">
        <v>1456</v>
      </c>
      <c r="F11" s="11" t="n">
        <f aca="false">LEN(D11)</f>
        <v>21</v>
      </c>
      <c r="G11" s="11" t="n">
        <f aca="false">LEN(E11)</f>
        <v>220</v>
      </c>
    </row>
    <row r="12" customFormat="false" ht="181.5" hidden="false" customHeight="true" outlineLevel="0" collapsed="false">
      <c r="A12" s="12" t="s">
        <v>1349</v>
      </c>
      <c r="B12" s="13" t="s">
        <v>1454</v>
      </c>
      <c r="C12" s="13" t="s">
        <v>1262</v>
      </c>
      <c r="D12" s="13" t="s">
        <v>1457</v>
      </c>
      <c r="E12" s="13" t="s">
        <v>1458</v>
      </c>
      <c r="F12" s="11" t="n">
        <f aca="false">LEN(D12)</f>
        <v>39</v>
      </c>
      <c r="G12" s="11" t="n">
        <f aca="false">LEN(E12)</f>
        <v>410</v>
      </c>
    </row>
    <row r="13" customFormat="false" ht="153.75" hidden="false" customHeight="true" outlineLevel="0" collapsed="false">
      <c r="A13" s="12" t="s">
        <v>1286</v>
      </c>
      <c r="B13" s="13" t="s">
        <v>1459</v>
      </c>
      <c r="C13" s="13" t="s">
        <v>1439</v>
      </c>
      <c r="D13" s="17" t="s">
        <v>1460</v>
      </c>
      <c r="E13" s="13" t="s">
        <v>1461</v>
      </c>
      <c r="F13" s="11" t="n">
        <f aca="false">LEN(D13)</f>
        <v>11</v>
      </c>
      <c r="G13" s="11" t="n">
        <f aca="false">LEN(E13)</f>
        <v>215</v>
      </c>
    </row>
    <row r="14" customFormat="false" ht="181.5" hidden="false" customHeight="true" outlineLevel="0" collapsed="false">
      <c r="A14" s="12" t="s">
        <v>1288</v>
      </c>
      <c r="B14" s="13" t="s">
        <v>1459</v>
      </c>
      <c r="C14" s="13" t="s">
        <v>1262</v>
      </c>
      <c r="D14" s="13" t="s">
        <v>1462</v>
      </c>
      <c r="E14" s="13" t="s">
        <v>1463</v>
      </c>
      <c r="F14" s="11" t="n">
        <f aca="false">LEN(D14)</f>
        <v>41</v>
      </c>
      <c r="G14" s="11" t="n">
        <f aca="false">LEN(E14)</f>
        <v>445</v>
      </c>
    </row>
    <row r="15" customFormat="false" ht="153.75" hidden="false" customHeight="true" outlineLevel="0" collapsed="false">
      <c r="A15" s="12" t="s">
        <v>1464</v>
      </c>
      <c r="B15" s="13" t="s">
        <v>1465</v>
      </c>
      <c r="C15" s="13" t="s">
        <v>1439</v>
      </c>
      <c r="D15" s="17" t="s">
        <v>1466</v>
      </c>
      <c r="E15" s="13" t="s">
        <v>1467</v>
      </c>
      <c r="F15" s="11" t="n">
        <f aca="false">LEN(D15)</f>
        <v>21</v>
      </c>
      <c r="G15" s="11" t="n">
        <f aca="false">LEN(E15)</f>
        <v>217</v>
      </c>
    </row>
    <row r="16" customFormat="false" ht="181.5" hidden="false" customHeight="true" outlineLevel="0" collapsed="false">
      <c r="A16" s="12" t="s">
        <v>1468</v>
      </c>
      <c r="B16" s="13" t="s">
        <v>1465</v>
      </c>
      <c r="C16" s="13" t="s">
        <v>1262</v>
      </c>
      <c r="D16" s="13" t="s">
        <v>1469</v>
      </c>
      <c r="E16" s="13" t="s">
        <v>1470</v>
      </c>
      <c r="F16" s="11" t="n">
        <f aca="false">LEN(D16)</f>
        <v>47</v>
      </c>
      <c r="G16" s="11" t="n">
        <f aca="false">LEN(E16)</f>
        <v>461</v>
      </c>
    </row>
    <row r="17" customFormat="false" ht="84" hidden="false" customHeight="true" outlineLevel="0" collapsed="false">
      <c r="A17" s="12" t="s">
        <v>1471</v>
      </c>
      <c r="B17" s="13" t="s">
        <v>1472</v>
      </c>
      <c r="C17" s="13" t="s">
        <v>1439</v>
      </c>
      <c r="D17" s="13" t="s">
        <v>1473</v>
      </c>
      <c r="E17" s="13" t="s">
        <v>1474</v>
      </c>
      <c r="F17" s="11" t="n">
        <f aca="false">LEN(D17)</f>
        <v>10</v>
      </c>
      <c r="G17" s="11" t="n">
        <f aca="false">LEN(E17)</f>
        <v>115</v>
      </c>
    </row>
    <row r="18" customFormat="false" ht="97.5" hidden="false" customHeight="true" outlineLevel="0" collapsed="false">
      <c r="A18" s="12" t="s">
        <v>1475</v>
      </c>
      <c r="B18" s="13" t="s">
        <v>1472</v>
      </c>
      <c r="C18" s="13" t="s">
        <v>1262</v>
      </c>
      <c r="D18" s="13" t="s">
        <v>1476</v>
      </c>
      <c r="E18" s="13" t="s">
        <v>1477</v>
      </c>
      <c r="F18" s="11" t="n">
        <f aca="false">LEN(D18)</f>
        <v>23</v>
      </c>
      <c r="G18" s="11" t="n">
        <f aca="false">LEN(E18)</f>
        <v>234</v>
      </c>
    </row>
    <row r="19" customFormat="false" ht="60" hidden="false" customHeight="true" outlineLevel="0" collapsed="false">
      <c r="A19" s="12" t="s">
        <v>1478</v>
      </c>
      <c r="B19" s="13" t="s">
        <v>1479</v>
      </c>
      <c r="C19" s="13" t="s">
        <v>1439</v>
      </c>
      <c r="D19" s="17" t="s">
        <v>1480</v>
      </c>
      <c r="E19" s="13" t="s">
        <v>1481</v>
      </c>
      <c r="F19" s="11" t="n">
        <f aca="false">LEN(D19)</f>
        <v>6</v>
      </c>
      <c r="G19" s="11" t="n">
        <f aca="false">LEN(E19)</f>
        <v>104</v>
      </c>
    </row>
    <row r="20" customFormat="false" ht="69.75" hidden="false" customHeight="true" outlineLevel="0" collapsed="false">
      <c r="A20" s="12" t="s">
        <v>1482</v>
      </c>
      <c r="B20" s="13" t="s">
        <v>1479</v>
      </c>
      <c r="C20" s="13" t="s">
        <v>1262</v>
      </c>
      <c r="D20" s="13" t="s">
        <v>1483</v>
      </c>
      <c r="E20" s="13" t="s">
        <v>1484</v>
      </c>
      <c r="F20" s="11" t="n">
        <f aca="false">LEN(D20)</f>
        <v>16</v>
      </c>
      <c r="G20" s="11" t="n">
        <f aca="false">LEN(E20)</f>
        <v>212</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5" min="2" style="0" width="14"/>
    <col collapsed="false" customWidth="true" hidden="false" outlineLevel="0" max="6" min="6" style="0" width="12"/>
    <col collapsed="false" customWidth="true" hidden="false" outlineLevel="0" max="8" min="7" style="0" width="10"/>
    <col collapsed="false" customWidth="true" hidden="false" outlineLevel="0" max="9" min="9" style="0" width="14"/>
  </cols>
  <sheetData>
    <row r="1" customFormat="false" ht="17.35" hidden="false" customHeight="false" outlineLevel="0" collapsed="false">
      <c r="A1" s="5" t="s">
        <v>1485</v>
      </c>
    </row>
    <row r="3" customFormat="false" ht="39.55" hidden="false" customHeight="false" outlineLevel="0" collapsed="false">
      <c r="A3" s="10" t="s">
        <v>63</v>
      </c>
      <c r="B3" s="10" t="s">
        <v>91</v>
      </c>
      <c r="C3" s="10" t="s">
        <v>124</v>
      </c>
      <c r="D3" s="10" t="s">
        <v>152</v>
      </c>
      <c r="E3" s="10" t="s">
        <v>186</v>
      </c>
      <c r="F3" s="10" t="s">
        <v>193</v>
      </c>
      <c r="G3" s="10" t="s">
        <v>202</v>
      </c>
      <c r="H3" s="10" t="s">
        <v>1486</v>
      </c>
      <c r="I3" s="10" t="s">
        <v>1487</v>
      </c>
    </row>
    <row r="4" customFormat="false" ht="15" hidden="false" customHeight="false" outlineLevel="0" collapsed="false">
      <c r="A4" s="21" t="s">
        <v>83</v>
      </c>
      <c r="B4" s="11" t="n">
        <f aca="false">COUNTIFS('Master Target List'!$D$5:$D$226,$A4,'Master Target List'!$O$5:$O$226,"High")</f>
        <v>4</v>
      </c>
      <c r="C4" s="11" t="n">
        <f aca="false">COUNTIFS('Master Target List'!$D$5:$D$226,$A4,'Master Target List'!$O$5:$O$226,"Medium-High")</f>
        <v>4</v>
      </c>
      <c r="D4" s="11" t="n">
        <f aca="false">COUNTIFS('Master Target List'!$D$5:$D$226,$A4,'Master Target List'!$O$5:$O$226,"Medium")</f>
        <v>5</v>
      </c>
      <c r="E4" s="11" t="n">
        <f aca="false">COUNTIFS('Master Target List'!$D$5:$D$226,$A4,'Master Target List'!$O$5:$O$226,"Low-Medium")</f>
        <v>1</v>
      </c>
      <c r="F4" s="11" t="n">
        <f aca="false">COUNTIFS('Master Target List'!$D$5:$D$226,$A4,'Master Target List'!$O$5:$O$226,"Low")</f>
        <v>1</v>
      </c>
      <c r="G4" s="11" t="n">
        <f aca="false">COUNTIFS('Master Target List'!$D$5:$D$226,$A4,'Master Target List'!$O$5:$O$226,"Radar")</f>
        <v>1</v>
      </c>
      <c r="H4" s="22" t="n">
        <f aca="false">SUM(B4:G4)</f>
        <v>16</v>
      </c>
      <c r="I4" s="11" t="n">
        <f aca="false">COUNTIFS('Master Target List'!$D$5:$D$226,$A4,'Master Target List'!$R$5:$R$226,"&lt;&gt;v1")</f>
        <v>16</v>
      </c>
    </row>
    <row r="5" customFormat="false" ht="15" hidden="false" customHeight="false" outlineLevel="0" collapsed="false">
      <c r="A5" s="21" t="s">
        <v>205</v>
      </c>
      <c r="B5" s="11" t="n">
        <f aca="false">COUNTIFS('Master Target List'!$D$5:$D$226,$A5,'Master Target List'!$O$5:$O$226,"High")</f>
        <v>2</v>
      </c>
      <c r="C5" s="11" t="n">
        <f aca="false">COUNTIFS('Master Target List'!$D$5:$D$226,$A5,'Master Target List'!$O$5:$O$226,"Medium-High")</f>
        <v>1</v>
      </c>
      <c r="D5" s="11" t="n">
        <f aca="false">COUNTIFS('Master Target List'!$D$5:$D$226,$A5,'Master Target List'!$O$5:$O$226,"Medium")</f>
        <v>2</v>
      </c>
      <c r="E5" s="11" t="n">
        <f aca="false">COUNTIFS('Master Target List'!$D$5:$D$226,$A5,'Master Target List'!$O$5:$O$226,"Low-Medium")</f>
        <v>0</v>
      </c>
      <c r="F5" s="11" t="n">
        <f aca="false">COUNTIFS('Master Target List'!$D$5:$D$226,$A5,'Master Target List'!$O$5:$O$226,"Low")</f>
        <v>0</v>
      </c>
      <c r="G5" s="11" t="n">
        <f aca="false">COUNTIFS('Master Target List'!$D$5:$D$226,$A5,'Master Target List'!$O$5:$O$226,"Radar")</f>
        <v>4</v>
      </c>
      <c r="H5" s="22" t="n">
        <f aca="false">SUM(B5:G5)</f>
        <v>9</v>
      </c>
      <c r="I5" s="11" t="n">
        <f aca="false">COUNTIFS('Master Target List'!$D$5:$D$226,$A5,'Master Target List'!$R$5:$R$226,"&lt;&gt;v1")</f>
        <v>9</v>
      </c>
    </row>
    <row r="6" customFormat="false" ht="15" hidden="false" customHeight="false" outlineLevel="0" collapsed="false">
      <c r="A6" s="21" t="s">
        <v>262</v>
      </c>
      <c r="B6" s="11" t="n">
        <f aca="false">COUNTIFS('Master Target List'!$D$5:$D$226,$A6,'Master Target List'!$O$5:$O$226,"High")</f>
        <v>8</v>
      </c>
      <c r="C6" s="11" t="n">
        <f aca="false">COUNTIFS('Master Target List'!$D$5:$D$226,$A6,'Master Target List'!$O$5:$O$226,"Medium-High")</f>
        <v>1</v>
      </c>
      <c r="D6" s="11" t="n">
        <f aca="false">COUNTIFS('Master Target List'!$D$5:$D$226,$A6,'Master Target List'!$O$5:$O$226,"Medium")</f>
        <v>8</v>
      </c>
      <c r="E6" s="11" t="n">
        <f aca="false">COUNTIFS('Master Target List'!$D$5:$D$226,$A6,'Master Target List'!$O$5:$O$226,"Low-Medium")</f>
        <v>0</v>
      </c>
      <c r="F6" s="11" t="n">
        <f aca="false">COUNTIFS('Master Target List'!$D$5:$D$226,$A6,'Master Target List'!$O$5:$O$226,"Low")</f>
        <v>2</v>
      </c>
      <c r="G6" s="11" t="n">
        <f aca="false">COUNTIFS('Master Target List'!$D$5:$D$226,$A6,'Master Target List'!$O$5:$O$226,"Radar")</f>
        <v>4</v>
      </c>
      <c r="H6" s="22" t="n">
        <f aca="false">SUM(B6:G6)</f>
        <v>23</v>
      </c>
      <c r="I6" s="11" t="n">
        <f aca="false">COUNTIFS('Master Target List'!$D$5:$D$226,$A6,'Master Target List'!$R$5:$R$226,"&lt;&gt;v1")</f>
        <v>16</v>
      </c>
    </row>
    <row r="7" customFormat="false" ht="15" hidden="false" customHeight="false" outlineLevel="0" collapsed="false">
      <c r="A7" s="21" t="s">
        <v>394</v>
      </c>
      <c r="B7" s="11" t="n">
        <f aca="false">COUNTIFS('Master Target List'!$D$5:$D$226,$A7,'Master Target List'!$O$5:$O$226,"High")</f>
        <v>1</v>
      </c>
      <c r="C7" s="11" t="n">
        <f aca="false">COUNTIFS('Master Target List'!$D$5:$D$226,$A7,'Master Target List'!$O$5:$O$226,"Medium-High")</f>
        <v>2</v>
      </c>
      <c r="D7" s="11" t="n">
        <f aca="false">COUNTIFS('Master Target List'!$D$5:$D$226,$A7,'Master Target List'!$O$5:$O$226,"Medium")</f>
        <v>9</v>
      </c>
      <c r="E7" s="11" t="n">
        <f aca="false">COUNTIFS('Master Target List'!$D$5:$D$226,$A7,'Master Target List'!$O$5:$O$226,"Low-Medium")</f>
        <v>5</v>
      </c>
      <c r="F7" s="11" t="n">
        <f aca="false">COUNTIFS('Master Target List'!$D$5:$D$226,$A7,'Master Target List'!$O$5:$O$226,"Low")</f>
        <v>0</v>
      </c>
      <c r="G7" s="11" t="n">
        <f aca="false">COUNTIFS('Master Target List'!$D$5:$D$226,$A7,'Master Target List'!$O$5:$O$226,"Radar")</f>
        <v>4</v>
      </c>
      <c r="H7" s="22" t="n">
        <f aca="false">SUM(B7:G7)</f>
        <v>21</v>
      </c>
      <c r="I7" s="11" t="n">
        <f aca="false">COUNTIFS('Master Target List'!$D$5:$D$226,$A7,'Master Target List'!$R$5:$R$226,"&lt;&gt;v1")</f>
        <v>18</v>
      </c>
    </row>
    <row r="8" customFormat="false" ht="15" hidden="false" customHeight="false" outlineLevel="0" collapsed="false">
      <c r="A8" s="21" t="s">
        <v>519</v>
      </c>
      <c r="B8" s="11" t="n">
        <f aca="false">COUNTIFS('Master Target List'!$D$5:$D$226,$A8,'Master Target List'!$O$5:$O$226,"High")</f>
        <v>2</v>
      </c>
      <c r="C8" s="11" t="n">
        <f aca="false">COUNTIFS('Master Target List'!$D$5:$D$226,$A8,'Master Target List'!$O$5:$O$226,"Medium-High")</f>
        <v>0</v>
      </c>
      <c r="D8" s="11" t="n">
        <f aca="false">COUNTIFS('Master Target List'!$D$5:$D$226,$A8,'Master Target List'!$O$5:$O$226,"Medium")</f>
        <v>2</v>
      </c>
      <c r="E8" s="11" t="n">
        <f aca="false">COUNTIFS('Master Target List'!$D$5:$D$226,$A8,'Master Target List'!$O$5:$O$226,"Low-Medium")</f>
        <v>0</v>
      </c>
      <c r="F8" s="11" t="n">
        <f aca="false">COUNTIFS('Master Target List'!$D$5:$D$226,$A8,'Master Target List'!$O$5:$O$226,"Low")</f>
        <v>0</v>
      </c>
      <c r="G8" s="11" t="n">
        <f aca="false">COUNTIFS('Master Target List'!$D$5:$D$226,$A8,'Master Target List'!$O$5:$O$226,"Radar")</f>
        <v>0</v>
      </c>
      <c r="H8" s="22" t="n">
        <f aca="false">SUM(B8:G8)</f>
        <v>4</v>
      </c>
      <c r="I8" s="11" t="n">
        <f aca="false">COUNTIFS('Master Target List'!$D$5:$D$226,$A8,'Master Target List'!$R$5:$R$226,"&lt;&gt;v1")</f>
        <v>4</v>
      </c>
    </row>
    <row r="9" customFormat="false" ht="15" hidden="false" customHeight="false" outlineLevel="0" collapsed="false">
      <c r="A9" s="21" t="s">
        <v>541</v>
      </c>
      <c r="B9" s="11" t="n">
        <f aca="false">COUNTIFS('Master Target List'!$D$5:$D$226,$A9,'Master Target List'!$O$5:$O$226,"High")</f>
        <v>1</v>
      </c>
      <c r="C9" s="11" t="n">
        <f aca="false">COUNTIFS('Master Target List'!$D$5:$D$226,$A9,'Master Target List'!$O$5:$O$226,"Medium-High")</f>
        <v>2</v>
      </c>
      <c r="D9" s="11" t="n">
        <f aca="false">COUNTIFS('Master Target List'!$D$5:$D$226,$A9,'Master Target List'!$O$5:$O$226,"Medium")</f>
        <v>7</v>
      </c>
      <c r="E9" s="11" t="n">
        <f aca="false">COUNTIFS('Master Target List'!$D$5:$D$226,$A9,'Master Target List'!$O$5:$O$226,"Low-Medium")</f>
        <v>3</v>
      </c>
      <c r="F9" s="11" t="n">
        <f aca="false">COUNTIFS('Master Target List'!$D$5:$D$226,$A9,'Master Target List'!$O$5:$O$226,"Low")</f>
        <v>2</v>
      </c>
      <c r="G9" s="11" t="n">
        <f aca="false">COUNTIFS('Master Target List'!$D$5:$D$226,$A9,'Master Target List'!$O$5:$O$226,"Radar")</f>
        <v>0</v>
      </c>
      <c r="H9" s="22" t="n">
        <f aca="false">SUM(B9:G9)</f>
        <v>15</v>
      </c>
      <c r="I9" s="11" t="n">
        <f aca="false">COUNTIFS('Master Target List'!$D$5:$D$226,$A9,'Master Target List'!$R$5:$R$226,"&lt;&gt;v1")</f>
        <v>8</v>
      </c>
    </row>
    <row r="10" customFormat="false" ht="15" hidden="false" customHeight="false" outlineLevel="0" collapsed="false">
      <c r="A10" s="21" t="s">
        <v>619</v>
      </c>
      <c r="B10" s="11" t="n">
        <f aca="false">COUNTIFS('Master Target List'!$D$5:$D$226,$A10,'Master Target List'!$O$5:$O$226,"High")</f>
        <v>0</v>
      </c>
      <c r="C10" s="11" t="n">
        <f aca="false">COUNTIFS('Master Target List'!$D$5:$D$226,$A10,'Master Target List'!$O$5:$O$226,"Medium-High")</f>
        <v>0</v>
      </c>
      <c r="D10" s="11" t="n">
        <f aca="false">COUNTIFS('Master Target List'!$D$5:$D$226,$A10,'Master Target List'!$O$5:$O$226,"Medium")</f>
        <v>3</v>
      </c>
      <c r="E10" s="11" t="n">
        <f aca="false">COUNTIFS('Master Target List'!$D$5:$D$226,$A10,'Master Target List'!$O$5:$O$226,"Low-Medium")</f>
        <v>2</v>
      </c>
      <c r="F10" s="11" t="n">
        <f aca="false">COUNTIFS('Master Target List'!$D$5:$D$226,$A10,'Master Target List'!$O$5:$O$226,"Low")</f>
        <v>4</v>
      </c>
      <c r="G10" s="11" t="n">
        <f aca="false">COUNTIFS('Master Target List'!$D$5:$D$226,$A10,'Master Target List'!$O$5:$O$226,"Radar")</f>
        <v>2</v>
      </c>
      <c r="H10" s="22" t="n">
        <f aca="false">SUM(B10:G10)</f>
        <v>11</v>
      </c>
      <c r="I10" s="11" t="n">
        <f aca="false">COUNTIFS('Master Target List'!$D$5:$D$226,$A10,'Master Target List'!$R$5:$R$226,"&lt;&gt;v1")</f>
        <v>11</v>
      </c>
    </row>
    <row r="11" customFormat="false" ht="15" hidden="false" customHeight="false" outlineLevel="0" collapsed="false">
      <c r="A11" s="21" t="s">
        <v>689</v>
      </c>
      <c r="B11" s="11" t="n">
        <f aca="false">COUNTIFS('Master Target List'!$D$5:$D$226,$A11,'Master Target List'!$O$5:$O$226,"High")</f>
        <v>1</v>
      </c>
      <c r="C11" s="11" t="n">
        <f aca="false">COUNTIFS('Master Target List'!$D$5:$D$226,$A11,'Master Target List'!$O$5:$O$226,"Medium-High")</f>
        <v>0</v>
      </c>
      <c r="D11" s="11" t="n">
        <f aca="false">COUNTIFS('Master Target List'!$D$5:$D$226,$A11,'Master Target List'!$O$5:$O$226,"Medium")</f>
        <v>2</v>
      </c>
      <c r="E11" s="11" t="n">
        <f aca="false">COUNTIFS('Master Target List'!$D$5:$D$226,$A11,'Master Target List'!$O$5:$O$226,"Low-Medium")</f>
        <v>4</v>
      </c>
      <c r="F11" s="11" t="n">
        <f aca="false">COUNTIFS('Master Target List'!$D$5:$D$226,$A11,'Master Target List'!$O$5:$O$226,"Low")</f>
        <v>0</v>
      </c>
      <c r="G11" s="11" t="n">
        <f aca="false">COUNTIFS('Master Target List'!$D$5:$D$226,$A11,'Master Target List'!$O$5:$O$226,"Radar")</f>
        <v>0</v>
      </c>
      <c r="H11" s="22" t="n">
        <f aca="false">SUM(B11:G11)</f>
        <v>7</v>
      </c>
      <c r="I11" s="11" t="n">
        <f aca="false">COUNTIFS('Master Target List'!$D$5:$D$226,$A11,'Master Target List'!$R$5:$R$226,"&lt;&gt;v1")</f>
        <v>1</v>
      </c>
    </row>
    <row r="12" customFormat="false" ht="15" hidden="false" customHeight="false" outlineLevel="0" collapsed="false">
      <c r="A12" s="21" t="s">
        <v>724</v>
      </c>
      <c r="B12" s="11" t="n">
        <f aca="false">COUNTIFS('Master Target List'!$D$5:$D$226,$A12,'Master Target List'!$O$5:$O$226,"High")</f>
        <v>0</v>
      </c>
      <c r="C12" s="11" t="n">
        <f aca="false">COUNTIFS('Master Target List'!$D$5:$D$226,$A12,'Master Target List'!$O$5:$O$226,"Medium-High")</f>
        <v>1</v>
      </c>
      <c r="D12" s="11" t="n">
        <f aca="false">COUNTIFS('Master Target List'!$D$5:$D$226,$A12,'Master Target List'!$O$5:$O$226,"Medium")</f>
        <v>5</v>
      </c>
      <c r="E12" s="11" t="n">
        <f aca="false">COUNTIFS('Master Target List'!$D$5:$D$226,$A12,'Master Target List'!$O$5:$O$226,"Low-Medium")</f>
        <v>4</v>
      </c>
      <c r="F12" s="11" t="n">
        <f aca="false">COUNTIFS('Master Target List'!$D$5:$D$226,$A12,'Master Target List'!$O$5:$O$226,"Low")</f>
        <v>2</v>
      </c>
      <c r="G12" s="11" t="n">
        <f aca="false">COUNTIFS('Master Target List'!$D$5:$D$226,$A12,'Master Target List'!$O$5:$O$226,"Radar")</f>
        <v>0</v>
      </c>
      <c r="H12" s="22" t="n">
        <f aca="false">SUM(B12:G12)</f>
        <v>12</v>
      </c>
      <c r="I12" s="11" t="n">
        <f aca="false">COUNTIFS('Master Target List'!$D$5:$D$226,$A12,'Master Target List'!$R$5:$R$226,"&lt;&gt;v1")</f>
        <v>9</v>
      </c>
    </row>
    <row r="13" customFormat="false" ht="15" hidden="false" customHeight="false" outlineLevel="0" collapsed="false">
      <c r="A13" s="21" t="s">
        <v>787</v>
      </c>
      <c r="B13" s="11" t="n">
        <f aca="false">COUNTIFS('Master Target List'!$D$5:$D$226,$A13,'Master Target List'!$O$5:$O$226,"High")</f>
        <v>0</v>
      </c>
      <c r="C13" s="11" t="n">
        <f aca="false">COUNTIFS('Master Target List'!$D$5:$D$226,$A13,'Master Target List'!$O$5:$O$226,"Medium-High")</f>
        <v>0</v>
      </c>
      <c r="D13" s="11" t="n">
        <f aca="false">COUNTIFS('Master Target List'!$D$5:$D$226,$A13,'Master Target List'!$O$5:$O$226,"Medium")</f>
        <v>8</v>
      </c>
      <c r="E13" s="11" t="n">
        <f aca="false">COUNTIFS('Master Target List'!$D$5:$D$226,$A13,'Master Target List'!$O$5:$O$226,"Low-Medium")</f>
        <v>1</v>
      </c>
      <c r="F13" s="11" t="n">
        <f aca="false">COUNTIFS('Master Target List'!$D$5:$D$226,$A13,'Master Target List'!$O$5:$O$226,"Low")</f>
        <v>3</v>
      </c>
      <c r="G13" s="11" t="n">
        <f aca="false">COUNTIFS('Master Target List'!$D$5:$D$226,$A13,'Master Target List'!$O$5:$O$226,"Radar")</f>
        <v>0</v>
      </c>
      <c r="H13" s="22" t="n">
        <f aca="false">SUM(B13:G13)</f>
        <v>12</v>
      </c>
      <c r="I13" s="11" t="n">
        <f aca="false">COUNTIFS('Master Target List'!$D$5:$D$226,$A13,'Master Target List'!$R$5:$R$226,"&lt;&gt;v1")</f>
        <v>6</v>
      </c>
    </row>
    <row r="14" customFormat="false" ht="15" hidden="false" customHeight="false" outlineLevel="0" collapsed="false">
      <c r="A14" s="21" t="s">
        <v>853</v>
      </c>
      <c r="B14" s="11" t="n">
        <f aca="false">COUNTIFS('Master Target List'!$D$5:$D$226,$A14,'Master Target List'!$O$5:$O$226,"High")</f>
        <v>1</v>
      </c>
      <c r="C14" s="11" t="n">
        <f aca="false">COUNTIFS('Master Target List'!$D$5:$D$226,$A14,'Master Target List'!$O$5:$O$226,"Medium-High")</f>
        <v>0</v>
      </c>
      <c r="D14" s="11" t="n">
        <f aca="false">COUNTIFS('Master Target List'!$D$5:$D$226,$A14,'Master Target List'!$O$5:$O$226,"Medium")</f>
        <v>2</v>
      </c>
      <c r="E14" s="11" t="n">
        <f aca="false">COUNTIFS('Master Target List'!$D$5:$D$226,$A14,'Master Target List'!$O$5:$O$226,"Low-Medium")</f>
        <v>4</v>
      </c>
      <c r="F14" s="11" t="n">
        <f aca="false">COUNTIFS('Master Target List'!$D$5:$D$226,$A14,'Master Target List'!$O$5:$O$226,"Low")</f>
        <v>0</v>
      </c>
      <c r="G14" s="11" t="n">
        <f aca="false">COUNTIFS('Master Target List'!$D$5:$D$226,$A14,'Master Target List'!$O$5:$O$226,"Radar")</f>
        <v>0</v>
      </c>
      <c r="H14" s="22" t="n">
        <f aca="false">SUM(B14:G14)</f>
        <v>7</v>
      </c>
      <c r="I14" s="11" t="n">
        <f aca="false">COUNTIFS('Master Target List'!$D$5:$D$226,$A14,'Master Target List'!$R$5:$R$226,"&lt;&gt;v1")</f>
        <v>2</v>
      </c>
    </row>
    <row r="15" customFormat="false" ht="15" hidden="false" customHeight="false" outlineLevel="0" collapsed="false">
      <c r="A15" s="21" t="s">
        <v>891</v>
      </c>
      <c r="B15" s="11" t="n">
        <f aca="false">COUNTIFS('Master Target List'!$D$5:$D$226,$A15,'Master Target List'!$O$5:$O$226,"High")</f>
        <v>4</v>
      </c>
      <c r="C15" s="11" t="n">
        <f aca="false">COUNTIFS('Master Target List'!$D$5:$D$226,$A15,'Master Target List'!$O$5:$O$226,"Medium-High")</f>
        <v>0</v>
      </c>
      <c r="D15" s="11" t="n">
        <f aca="false">COUNTIFS('Master Target List'!$D$5:$D$226,$A15,'Master Target List'!$O$5:$O$226,"Medium")</f>
        <v>12</v>
      </c>
      <c r="E15" s="11" t="n">
        <f aca="false">COUNTIFS('Master Target List'!$D$5:$D$226,$A15,'Master Target List'!$O$5:$O$226,"Low-Medium")</f>
        <v>5</v>
      </c>
      <c r="F15" s="11" t="n">
        <f aca="false">COUNTIFS('Master Target List'!$D$5:$D$226,$A15,'Master Target List'!$O$5:$O$226,"Low")</f>
        <v>0</v>
      </c>
      <c r="G15" s="11" t="n">
        <f aca="false">COUNTIFS('Master Target List'!$D$5:$D$226,$A15,'Master Target List'!$O$5:$O$226,"Radar")</f>
        <v>2</v>
      </c>
      <c r="H15" s="22" t="n">
        <f aca="false">SUM(B15:G15)</f>
        <v>23</v>
      </c>
      <c r="I15" s="11" t="n">
        <f aca="false">COUNTIFS('Master Target List'!$D$5:$D$226,$A15,'Master Target List'!$R$5:$R$226,"&lt;&gt;v1")</f>
        <v>16</v>
      </c>
    </row>
    <row r="16" customFormat="false" ht="15" hidden="false" customHeight="false" outlineLevel="0" collapsed="false">
      <c r="A16" s="21" t="s">
        <v>985</v>
      </c>
      <c r="B16" s="11" t="n">
        <f aca="false">COUNTIFS('Master Target List'!$D$5:$D$226,$A16,'Master Target List'!$O$5:$O$226,"High")</f>
        <v>0</v>
      </c>
      <c r="C16" s="11" t="n">
        <f aca="false">COUNTIFS('Master Target List'!$D$5:$D$226,$A16,'Master Target List'!$O$5:$O$226,"Medium-High")</f>
        <v>0</v>
      </c>
      <c r="D16" s="11" t="n">
        <f aca="false">COUNTIFS('Master Target List'!$D$5:$D$226,$A16,'Master Target List'!$O$5:$O$226,"Medium")</f>
        <v>5</v>
      </c>
      <c r="E16" s="11" t="n">
        <f aca="false">COUNTIFS('Master Target List'!$D$5:$D$226,$A16,'Master Target List'!$O$5:$O$226,"Low-Medium")</f>
        <v>2</v>
      </c>
      <c r="F16" s="11" t="n">
        <f aca="false">COUNTIFS('Master Target List'!$D$5:$D$226,$A16,'Master Target List'!$O$5:$O$226,"Low")</f>
        <v>0</v>
      </c>
      <c r="G16" s="11" t="n">
        <f aca="false">COUNTIFS('Master Target List'!$D$5:$D$226,$A16,'Master Target List'!$O$5:$O$226,"Radar")</f>
        <v>0</v>
      </c>
      <c r="H16" s="22" t="n">
        <f aca="false">SUM(B16:G16)</f>
        <v>7</v>
      </c>
      <c r="I16" s="11" t="n">
        <f aca="false">COUNTIFS('Master Target List'!$D$5:$D$226,$A16,'Master Target List'!$R$5:$R$226,"&lt;&gt;v1")</f>
        <v>7</v>
      </c>
    </row>
    <row r="17" customFormat="false" ht="15" hidden="false" customHeight="false" outlineLevel="0" collapsed="false">
      <c r="A17" s="21" t="s">
        <v>1017</v>
      </c>
      <c r="B17" s="11" t="n">
        <f aca="false">COUNTIFS('Master Target List'!$D$5:$D$226,$A17,'Master Target List'!$O$5:$O$226,"High")</f>
        <v>2</v>
      </c>
      <c r="C17" s="11" t="n">
        <f aca="false">COUNTIFS('Master Target List'!$D$5:$D$226,$A17,'Master Target List'!$O$5:$O$226,"Medium-High")</f>
        <v>0</v>
      </c>
      <c r="D17" s="11" t="n">
        <f aca="false">COUNTIFS('Master Target List'!$D$5:$D$226,$A17,'Master Target List'!$O$5:$O$226,"Medium")</f>
        <v>7</v>
      </c>
      <c r="E17" s="11" t="n">
        <f aca="false">COUNTIFS('Master Target List'!$D$5:$D$226,$A17,'Master Target List'!$O$5:$O$226,"Low-Medium")</f>
        <v>1</v>
      </c>
      <c r="F17" s="11" t="n">
        <f aca="false">COUNTIFS('Master Target List'!$D$5:$D$226,$A17,'Master Target List'!$O$5:$O$226,"Low")</f>
        <v>2</v>
      </c>
      <c r="G17" s="11" t="n">
        <f aca="false">COUNTIFS('Master Target List'!$D$5:$D$226,$A17,'Master Target List'!$O$5:$O$226,"Radar")</f>
        <v>1</v>
      </c>
      <c r="H17" s="22" t="n">
        <f aca="false">SUM(B17:G17)</f>
        <v>13</v>
      </c>
      <c r="I17" s="11" t="n">
        <f aca="false">COUNTIFS('Master Target List'!$D$5:$D$226,$A17,'Master Target List'!$R$5:$R$226,"&lt;&gt;v1")</f>
        <v>8</v>
      </c>
    </row>
    <row r="18" customFormat="false" ht="15" hidden="false" customHeight="false" outlineLevel="0" collapsed="false">
      <c r="A18" s="21" t="s">
        <v>1076</v>
      </c>
      <c r="B18" s="11" t="n">
        <f aca="false">COUNTIFS('Master Target List'!$D$5:$D$226,$A18,'Master Target List'!$O$5:$O$226,"High")</f>
        <v>3</v>
      </c>
      <c r="C18" s="11" t="n">
        <f aca="false">COUNTIFS('Master Target List'!$D$5:$D$226,$A18,'Master Target List'!$O$5:$O$226,"Medium-High")</f>
        <v>0</v>
      </c>
      <c r="D18" s="11" t="n">
        <f aca="false">COUNTIFS('Master Target List'!$D$5:$D$226,$A18,'Master Target List'!$O$5:$O$226,"Medium")</f>
        <v>15</v>
      </c>
      <c r="E18" s="11" t="n">
        <f aca="false">COUNTIFS('Master Target List'!$D$5:$D$226,$A18,'Master Target List'!$O$5:$O$226,"Low-Medium")</f>
        <v>9</v>
      </c>
      <c r="F18" s="11" t="n">
        <f aca="false">COUNTIFS('Master Target List'!$D$5:$D$226,$A18,'Master Target List'!$O$5:$O$226,"Low")</f>
        <v>0</v>
      </c>
      <c r="G18" s="11" t="n">
        <f aca="false">COUNTIFS('Master Target List'!$D$5:$D$226,$A18,'Master Target List'!$O$5:$O$226,"Radar")</f>
        <v>0</v>
      </c>
      <c r="H18" s="22" t="n">
        <f aca="false">SUM(B18:G18)</f>
        <v>27</v>
      </c>
      <c r="I18" s="11" t="n">
        <f aca="false">COUNTIFS('Master Target List'!$D$5:$D$226,$A18,'Master Target List'!$R$5:$R$226,"&lt;&gt;v1")</f>
        <v>20</v>
      </c>
    </row>
    <row r="19" customFormat="false" ht="15" hidden="false" customHeight="false" outlineLevel="0" collapsed="false">
      <c r="A19" s="21" t="s">
        <v>1172</v>
      </c>
      <c r="B19" s="11" t="n">
        <f aca="false">COUNTIFS('Master Target List'!$D$5:$D$226,$A19,'Master Target List'!$O$5:$O$226,"High")</f>
        <v>0</v>
      </c>
      <c r="C19" s="11" t="n">
        <f aca="false">COUNTIFS('Master Target List'!$D$5:$D$226,$A19,'Master Target List'!$O$5:$O$226,"Medium-High")</f>
        <v>0</v>
      </c>
      <c r="D19" s="11" t="n">
        <f aca="false">COUNTIFS('Master Target List'!$D$5:$D$226,$A19,'Master Target List'!$O$5:$O$226,"Medium")</f>
        <v>1</v>
      </c>
      <c r="E19" s="11" t="n">
        <f aca="false">COUNTIFS('Master Target List'!$D$5:$D$226,$A19,'Master Target List'!$O$5:$O$226,"Low-Medium")</f>
        <v>2</v>
      </c>
      <c r="F19" s="11" t="n">
        <f aca="false">COUNTIFS('Master Target List'!$D$5:$D$226,$A19,'Master Target List'!$O$5:$O$226,"Low")</f>
        <v>3</v>
      </c>
      <c r="G19" s="11" t="n">
        <f aca="false">COUNTIFS('Master Target List'!$D$5:$D$226,$A19,'Master Target List'!$O$5:$O$226,"Radar")</f>
        <v>0</v>
      </c>
      <c r="H19" s="22" t="n">
        <f aca="false">SUM(B19:G19)</f>
        <v>6</v>
      </c>
      <c r="I19" s="11" t="n">
        <f aca="false">COUNTIFS('Master Target List'!$D$5:$D$226,$A19,'Master Target List'!$R$5:$R$226,"&lt;&gt;v1")</f>
        <v>4</v>
      </c>
    </row>
    <row r="20" customFormat="false" ht="15" hidden="false" customHeight="false" outlineLevel="0" collapsed="false">
      <c r="A20" s="21" t="s">
        <v>1200</v>
      </c>
      <c r="B20" s="11" t="n">
        <f aca="false">COUNTIFS('Master Target List'!$D$5:$D$226,$A20,'Master Target List'!$O$5:$O$226,"High")</f>
        <v>0</v>
      </c>
      <c r="C20" s="11" t="n">
        <f aca="false">COUNTIFS('Master Target List'!$D$5:$D$226,$A20,'Master Target List'!$O$5:$O$226,"Medium-High")</f>
        <v>0</v>
      </c>
      <c r="D20" s="11" t="n">
        <f aca="false">COUNTIFS('Master Target List'!$D$5:$D$226,$A20,'Master Target List'!$O$5:$O$226,"Medium")</f>
        <v>0</v>
      </c>
      <c r="E20" s="11" t="n">
        <f aca="false">COUNTIFS('Master Target List'!$D$5:$D$226,$A20,'Master Target List'!$O$5:$O$226,"Low-Medium")</f>
        <v>2</v>
      </c>
      <c r="F20" s="11" t="n">
        <f aca="false">COUNTIFS('Master Target List'!$D$5:$D$226,$A20,'Master Target List'!$O$5:$O$226,"Low")</f>
        <v>7</v>
      </c>
      <c r="G20" s="11" t="n">
        <f aca="false">COUNTIFS('Master Target List'!$D$5:$D$226,$A20,'Master Target List'!$O$5:$O$226,"Radar")</f>
        <v>0</v>
      </c>
      <c r="H20" s="22" t="n">
        <f aca="false">SUM(B20:G20)</f>
        <v>9</v>
      </c>
      <c r="I20" s="11" t="n">
        <f aca="false">COUNTIFS('Master Target List'!$D$5:$D$226,$A20,'Master Target List'!$R$5:$R$226,"&lt;&gt;v1")</f>
        <v>7</v>
      </c>
    </row>
    <row r="21" customFormat="false" ht="15" hidden="false" customHeight="false" outlineLevel="0" collapsed="false">
      <c r="A21" s="23" t="s">
        <v>1486</v>
      </c>
      <c r="B21" s="22" t="n">
        <f aca="false">SUM(B4:B20)</f>
        <v>29</v>
      </c>
      <c r="C21" s="22" t="n">
        <f aca="false">SUM(C4:C20)</f>
        <v>11</v>
      </c>
      <c r="D21" s="22" t="n">
        <f aca="false">SUM(D4:D20)</f>
        <v>93</v>
      </c>
      <c r="E21" s="22" t="n">
        <f aca="false">SUM(E4:E20)</f>
        <v>45</v>
      </c>
      <c r="F21" s="22" t="n">
        <f aca="false">SUM(F4:F20)</f>
        <v>26</v>
      </c>
      <c r="G21" s="22" t="n">
        <f aca="false">SUM(G4:G20)</f>
        <v>18</v>
      </c>
      <c r="H21" s="22" t="n">
        <f aca="false">SUM(H4:H20)</f>
        <v>222</v>
      </c>
      <c r="I21" s="22" t="n">
        <f aca="false">SUM(I4:I20)</f>
        <v>162</v>
      </c>
    </row>
    <row r="23" customFormat="false" ht="39.55" hidden="false" customHeight="false" outlineLevel="0" collapsed="false">
      <c r="A23" s="10" t="s">
        <v>1488</v>
      </c>
      <c r="B23" s="10" t="s">
        <v>1489</v>
      </c>
      <c r="C23" s="10" t="s">
        <v>1490</v>
      </c>
      <c r="D23" s="10" t="s">
        <v>1491</v>
      </c>
    </row>
    <row r="24" customFormat="false" ht="15" hidden="false" customHeight="false" outlineLevel="0" collapsed="false">
      <c r="A24" s="24" t="s">
        <v>1492</v>
      </c>
      <c r="B24" s="11" t="n">
        <f aca="false">COUNTIF('Master Target List'!$G$5:$G$226,"●")</f>
        <v>158</v>
      </c>
      <c r="C24" s="11" t="n">
        <f aca="false">COUNTIF('Master Target List'!$G$5:$G$226,"○")</f>
        <v>6</v>
      </c>
      <c r="D24" s="11" t="n">
        <f aca="false">COUNTIFS('Master Target List'!$G$5:$G$226,"●",'Master Target List'!$O$5:$O$226,"High")+COUNTIFS('Master Target List'!$G$5:$G$226,"●",'Master Target List'!$O$5:$O$226,"Medium-High")</f>
        <v>32</v>
      </c>
    </row>
    <row r="25" customFormat="false" ht="15" hidden="false" customHeight="false" outlineLevel="0" collapsed="false">
      <c r="A25" s="24" t="s">
        <v>1493</v>
      </c>
      <c r="B25" s="11" t="n">
        <f aca="false">COUNTIF('Master Target List'!$H$5:$H$226,"●")</f>
        <v>81</v>
      </c>
      <c r="C25" s="11" t="n">
        <f aca="false">COUNTIF('Master Target List'!$H$5:$H$226,"○")</f>
        <v>11</v>
      </c>
      <c r="D25" s="11" t="n">
        <f aca="false">COUNTIFS('Master Target List'!$H$5:$H$226,"●",'Master Target List'!$O$5:$O$226,"High")+COUNTIFS('Master Target List'!$H$5:$H$226,"●",'Master Target List'!$O$5:$O$226,"Medium-High")</f>
        <v>19</v>
      </c>
    </row>
    <row r="26" customFormat="false" ht="15" hidden="false" customHeight="false" outlineLevel="0" collapsed="false">
      <c r="A26" s="24" t="s">
        <v>68</v>
      </c>
      <c r="B26" s="11" t="n">
        <f aca="false">COUNTIF('Master Target List'!$I$5:$I$226,"●")</f>
        <v>38</v>
      </c>
      <c r="C26" s="11" t="n">
        <f aca="false">COUNTIF('Master Target List'!$I$5:$I$226,"○")</f>
        <v>16</v>
      </c>
      <c r="D26" s="11" t="n">
        <f aca="false">COUNTIFS('Master Target List'!$I$5:$I$226,"●",'Master Target List'!$O$5:$O$226,"High")+COUNTIFS('Master Target List'!$I$5:$I$226,"●",'Master Target List'!$O$5:$O$226,"Medium-High")</f>
        <v>11</v>
      </c>
    </row>
    <row r="27" customFormat="false" ht="15" hidden="false" customHeight="false" outlineLevel="0" collapsed="false">
      <c r="A27" s="24" t="s">
        <v>69</v>
      </c>
      <c r="B27" s="11" t="n">
        <f aca="false">COUNTIF('Master Target List'!$J$5:$J$226,"●")</f>
        <v>67</v>
      </c>
      <c r="C27" s="11" t="n">
        <f aca="false">COUNTIF('Master Target List'!$J$5:$J$226,"○")</f>
        <v>16</v>
      </c>
      <c r="D27" s="11" t="n">
        <f aca="false">COUNTIFS('Master Target List'!$J$5:$J$226,"●",'Master Target List'!$O$5:$O$226,"High")+COUNTIFS('Master Target List'!$J$5:$J$226,"●",'Master Target List'!$O$5:$O$226,"Medium-High")</f>
        <v>12</v>
      </c>
    </row>
    <row r="28" customFormat="false" ht="15" hidden="false" customHeight="false" outlineLevel="0" collapsed="false">
      <c r="A28" s="24" t="s">
        <v>1494</v>
      </c>
      <c r="B28" s="11" t="n">
        <f aca="false">COUNTIF('Master Target List'!$K$5:$K$226,"●")</f>
        <v>100</v>
      </c>
      <c r="C28" s="11" t="n">
        <f aca="false">COUNTIF('Master Target List'!$K$5:$K$226,"○")</f>
        <v>38</v>
      </c>
      <c r="D28" s="11" t="n">
        <f aca="false">COUNTIFS('Master Target List'!$K$5:$K$226,"●",'Master Target List'!$O$5:$O$226,"High")+COUNTIFS('Master Target List'!$K$5:$K$226,"●",'Master Target List'!$O$5:$O$226,"Medium-High")</f>
        <v>22</v>
      </c>
    </row>
    <row r="30" customFormat="false" ht="15" hidden="false" customHeight="false" outlineLevel="0" collapsed="false">
      <c r="A30" s="10" t="s">
        <v>1495</v>
      </c>
      <c r="B30" s="10" t="s">
        <v>1496</v>
      </c>
      <c r="C30" s="10" t="s">
        <v>1497</v>
      </c>
    </row>
    <row r="31" customFormat="false" ht="35.05" hidden="false" customHeight="false" outlineLevel="0" collapsed="false">
      <c r="A31" s="24" t="s">
        <v>197</v>
      </c>
      <c r="B31" s="11" t="s">
        <v>1498</v>
      </c>
      <c r="C31" s="11" t="n">
        <f aca="false">COUNTIF('Master Target List'!$E$5:$E$226,"A")</f>
        <v>97</v>
      </c>
    </row>
    <row r="32" customFormat="false" ht="46.25" hidden="false" customHeight="false" outlineLevel="0" collapsed="false">
      <c r="A32" s="24" t="s">
        <v>84</v>
      </c>
      <c r="B32" s="11" t="s">
        <v>1499</v>
      </c>
      <c r="C32" s="11" t="n">
        <f aca="false">COUNTIF('Master Target List'!$E$5:$E$226,"B")</f>
        <v>26</v>
      </c>
    </row>
    <row r="33" customFormat="false" ht="46.25" hidden="false" customHeight="false" outlineLevel="0" collapsed="false">
      <c r="A33" s="24" t="s">
        <v>104</v>
      </c>
      <c r="B33" s="11" t="s">
        <v>1500</v>
      </c>
      <c r="C33" s="11" t="n">
        <f aca="false">COUNTIF('Master Target List'!$E$5:$E$226,"C")</f>
        <v>26</v>
      </c>
    </row>
    <row r="34" customFormat="false" ht="57.45" hidden="false" customHeight="false" outlineLevel="0" collapsed="false">
      <c r="A34" s="24" t="s">
        <v>298</v>
      </c>
      <c r="B34" s="11" t="s">
        <v>1501</v>
      </c>
      <c r="C34" s="11" t="n">
        <f aca="false">COUNTIF('Master Target List'!$E$5:$E$226,"D")</f>
        <v>20</v>
      </c>
    </row>
    <row r="35" customFormat="false" ht="35.05" hidden="false" customHeight="false" outlineLevel="0" collapsed="false">
      <c r="A35" s="24" t="s">
        <v>112</v>
      </c>
      <c r="B35" s="11" t="s">
        <v>1502</v>
      </c>
      <c r="C35" s="11" t="n">
        <f aca="false">COUNTIF('Master Target List'!$E$5:$E$226,"E")</f>
        <v>53</v>
      </c>
    </row>
    <row r="37" customFormat="false" ht="15" hidden="false" customHeight="false" outlineLevel="0" collapsed="false">
      <c r="A37" s="10" t="s">
        <v>1503</v>
      </c>
      <c r="B37" s="10" t="s">
        <v>1497</v>
      </c>
    </row>
    <row r="38" customFormat="false" ht="15" hidden="false" customHeight="false" outlineLevel="0" collapsed="false">
      <c r="A38" s="24" t="s">
        <v>95</v>
      </c>
      <c r="B38" s="11" t="n">
        <f aca="false">COUNTIF('Master Target List'!$T$5:$T$226,"Not started")</f>
        <v>222</v>
      </c>
    </row>
    <row r="39" customFormat="false" ht="15" hidden="false" customHeight="false" outlineLevel="0" collapsed="false">
      <c r="A39" s="24" t="s">
        <v>1504</v>
      </c>
      <c r="B39" s="11" t="n">
        <f aca="false">COUNTIF('Master Target List'!$T$5:$T$226,"Researching")</f>
        <v>0</v>
      </c>
    </row>
    <row r="40" customFormat="false" ht="15" hidden="false" customHeight="false" outlineLevel="0" collapsed="false">
      <c r="A40" s="24" t="s">
        <v>1505</v>
      </c>
      <c r="B40" s="11" t="n">
        <f aca="false">COUNTIF('Master Target List'!$T$5:$T$226,"Contacted")</f>
        <v>0</v>
      </c>
    </row>
    <row r="41" customFormat="false" ht="15" hidden="false" customHeight="false" outlineLevel="0" collapsed="false">
      <c r="A41" s="24" t="s">
        <v>1506</v>
      </c>
      <c r="B41" s="11" t="n">
        <f aca="false">COUNTIF('Master Target List'!$T$5:$T$226,"Meeting set")</f>
        <v>0</v>
      </c>
    </row>
    <row r="42" customFormat="false" ht="15" hidden="false" customHeight="false" outlineLevel="0" collapsed="false">
      <c r="A42" s="24" t="s">
        <v>1507</v>
      </c>
      <c r="B42" s="11" t="n">
        <f aca="false">COUNTIF('Master Target List'!$T$5:$T$226,"Proposal / terms")</f>
        <v>0</v>
      </c>
    </row>
    <row r="43" customFormat="false" ht="15" hidden="false" customHeight="false" outlineLevel="0" collapsed="false">
      <c r="A43" s="24" t="s">
        <v>1508</v>
      </c>
      <c r="B43" s="11" t="n">
        <f aca="false">COUNTIF('Master Target List'!$T$5:$T$226,"Signed")</f>
        <v>0</v>
      </c>
    </row>
    <row r="44" customFormat="false" ht="15" hidden="false" customHeight="false" outlineLevel="0" collapsed="false">
      <c r="A44" s="24" t="s">
        <v>1509</v>
      </c>
      <c r="B44" s="11" t="n">
        <f aca="false">COUNTIF('Master Target List'!$T$5:$T$226,"On hold")</f>
        <v>0</v>
      </c>
    </row>
    <row r="45" customFormat="false" ht="15" hidden="false" customHeight="false" outlineLevel="0" collapsed="false">
      <c r="A45" s="24" t="s">
        <v>1510</v>
      </c>
      <c r="B45" s="11" t="n">
        <f aca="false">COUNTIF('Master Target List'!$T$5:$T$226,"Dead")</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40"/>
    <col collapsed="false" customWidth="true" hidden="false" outlineLevel="0" max="4" min="4" style="0" width="32"/>
    <col collapsed="false" customWidth="true" hidden="false" outlineLevel="0" max="5" min="5" style="0" width="70"/>
    <col collapsed="false" customWidth="true" hidden="false" outlineLevel="0" max="6" min="6" style="0" width="14"/>
    <col collapsed="false" customWidth="true" hidden="false" outlineLevel="0" max="7" min="7" style="0" width="30"/>
  </cols>
  <sheetData>
    <row r="1" customFormat="false" ht="17.35" hidden="false" customHeight="false" outlineLevel="0" collapsed="false">
      <c r="A1" s="5" t="s">
        <v>1511</v>
      </c>
    </row>
    <row r="2" customFormat="false" ht="15" hidden="false" customHeight="false" outlineLevel="0" collapsed="false">
      <c r="A2" s="25" t="s">
        <v>1512</v>
      </c>
    </row>
    <row r="4" customFormat="false" ht="15" hidden="false" customHeight="false" outlineLevel="0" collapsed="false">
      <c r="A4" s="10" t="s">
        <v>60</v>
      </c>
      <c r="B4" s="10" t="s">
        <v>61</v>
      </c>
      <c r="C4" s="10" t="s">
        <v>1513</v>
      </c>
      <c r="D4" s="10" t="s">
        <v>1514</v>
      </c>
      <c r="E4" s="10" t="s">
        <v>1515</v>
      </c>
      <c r="F4" s="10" t="s">
        <v>79</v>
      </c>
      <c r="G4" s="10" t="s">
        <v>1516</v>
      </c>
    </row>
    <row r="5" customFormat="false" ht="26.85" hidden="false" customHeight="false" outlineLevel="0" collapsed="false">
      <c r="A5" s="11" t="n">
        <v>1</v>
      </c>
      <c r="B5" s="12" t="s">
        <v>81</v>
      </c>
      <c r="C5" s="13" t="s">
        <v>1517</v>
      </c>
      <c r="D5" s="13" t="s">
        <v>1518</v>
      </c>
      <c r="E5" s="17" t="s">
        <v>1519</v>
      </c>
      <c r="F5" s="16" t="s">
        <v>95</v>
      </c>
      <c r="G5" s="16"/>
    </row>
    <row r="6" customFormat="false" ht="23.85" hidden="false" customHeight="false" outlineLevel="0" collapsed="false">
      <c r="A6" s="11" t="n">
        <v>2</v>
      </c>
      <c r="B6" s="12" t="s">
        <v>110</v>
      </c>
      <c r="C6" s="13" t="s">
        <v>1520</v>
      </c>
      <c r="D6" s="13" t="s">
        <v>1521</v>
      </c>
      <c r="E6" s="13" t="s">
        <v>1522</v>
      </c>
      <c r="F6" s="16" t="s">
        <v>95</v>
      </c>
      <c r="G6" s="16"/>
    </row>
    <row r="7" customFormat="false" ht="26.85" hidden="false" customHeight="false" outlineLevel="0" collapsed="false">
      <c r="A7" s="11" t="n">
        <v>3</v>
      </c>
      <c r="B7" s="12" t="s">
        <v>96</v>
      </c>
      <c r="C7" s="13" t="s">
        <v>1523</v>
      </c>
      <c r="D7" s="13" t="s">
        <v>1524</v>
      </c>
      <c r="E7" s="17" t="s">
        <v>1525</v>
      </c>
      <c r="F7" s="16" t="s">
        <v>95</v>
      </c>
      <c r="G7" s="16"/>
    </row>
    <row r="8" customFormat="false" ht="23.85" hidden="false" customHeight="false" outlineLevel="0" collapsed="false">
      <c r="A8" s="11" t="n">
        <v>4</v>
      </c>
      <c r="B8" s="12" t="s">
        <v>103</v>
      </c>
      <c r="C8" s="13" t="s">
        <v>1526</v>
      </c>
      <c r="D8" s="13" t="s">
        <v>1527</v>
      </c>
      <c r="E8" s="13" t="s">
        <v>1528</v>
      </c>
      <c r="F8" s="16" t="s">
        <v>95</v>
      </c>
      <c r="G8" s="16"/>
    </row>
    <row r="9" customFormat="false" ht="26.85" hidden="false" customHeight="false" outlineLevel="0" collapsed="false">
      <c r="A9" s="11" t="n">
        <v>5</v>
      </c>
      <c r="B9" s="12" t="s">
        <v>517</v>
      </c>
      <c r="C9" s="13" t="s">
        <v>1529</v>
      </c>
      <c r="D9" s="13" t="s">
        <v>1530</v>
      </c>
      <c r="E9" s="13" t="s">
        <v>1531</v>
      </c>
      <c r="F9" s="16" t="s">
        <v>95</v>
      </c>
      <c r="G9" s="16"/>
    </row>
    <row r="10" customFormat="false" ht="26.85" hidden="false" customHeight="false" outlineLevel="0" collapsed="false">
      <c r="A10" s="11" t="n">
        <v>6</v>
      </c>
      <c r="B10" s="12" t="s">
        <v>1532</v>
      </c>
      <c r="C10" s="13" t="s">
        <v>1533</v>
      </c>
      <c r="D10" s="13" t="s">
        <v>1530</v>
      </c>
      <c r="E10" s="17" t="s">
        <v>1534</v>
      </c>
      <c r="F10" s="16" t="s">
        <v>95</v>
      </c>
      <c r="G10" s="16"/>
    </row>
    <row r="11" customFormat="false" ht="26.85" hidden="false" customHeight="false" outlineLevel="0" collapsed="false">
      <c r="A11" s="11" t="n">
        <v>7</v>
      </c>
      <c r="B11" s="12" t="s">
        <v>1274</v>
      </c>
      <c r="C11" s="13" t="s">
        <v>1535</v>
      </c>
      <c r="D11" s="13" t="s">
        <v>1536</v>
      </c>
      <c r="E11" s="13" t="s">
        <v>1537</v>
      </c>
      <c r="F11" s="16" t="s">
        <v>95</v>
      </c>
      <c r="G11" s="16"/>
    </row>
    <row r="12" customFormat="false" ht="26.85" hidden="false" customHeight="false" outlineLevel="0" collapsed="false">
      <c r="A12" s="11" t="n">
        <v>8</v>
      </c>
      <c r="B12" s="12" t="s">
        <v>1538</v>
      </c>
      <c r="C12" s="13" t="s">
        <v>1539</v>
      </c>
      <c r="D12" s="13" t="s">
        <v>1540</v>
      </c>
      <c r="E12" s="13" t="s">
        <v>1541</v>
      </c>
      <c r="F12" s="16" t="s">
        <v>95</v>
      </c>
      <c r="G12" s="16"/>
    </row>
    <row r="13" customFormat="false" ht="26.85" hidden="false" customHeight="false" outlineLevel="0" collapsed="false">
      <c r="A13" s="11" t="n">
        <v>9</v>
      </c>
      <c r="B13" s="12" t="s">
        <v>204</v>
      </c>
      <c r="C13" s="13" t="s">
        <v>1542</v>
      </c>
      <c r="D13" s="13" t="s">
        <v>1543</v>
      </c>
      <c r="E13" s="17" t="s">
        <v>1544</v>
      </c>
      <c r="F13" s="16" t="s">
        <v>95</v>
      </c>
      <c r="G13" s="16"/>
    </row>
    <row r="14" customFormat="false" ht="26.85" hidden="false" customHeight="false" outlineLevel="0" collapsed="false">
      <c r="A14" s="11" t="n">
        <v>10</v>
      </c>
      <c r="B14" s="12" t="s">
        <v>219</v>
      </c>
      <c r="C14" s="13" t="s">
        <v>1545</v>
      </c>
      <c r="D14" s="13" t="s">
        <v>1546</v>
      </c>
      <c r="E14" s="17" t="s">
        <v>1547</v>
      </c>
      <c r="F14" s="16" t="s">
        <v>95</v>
      </c>
      <c r="G14" s="16"/>
    </row>
    <row r="15" customFormat="false" ht="26.85" hidden="false" customHeight="false" outlineLevel="0" collapsed="false">
      <c r="A15" s="11" t="n">
        <v>11</v>
      </c>
      <c r="B15" s="12" t="s">
        <v>1548</v>
      </c>
      <c r="C15" s="13" t="s">
        <v>1549</v>
      </c>
      <c r="D15" s="13" t="s">
        <v>1550</v>
      </c>
      <c r="E15" s="17" t="s">
        <v>1551</v>
      </c>
      <c r="F15" s="16" t="s">
        <v>95</v>
      </c>
      <c r="G15" s="16"/>
    </row>
    <row r="16" customFormat="false" ht="23.85" hidden="false" customHeight="false" outlineLevel="0" collapsed="false">
      <c r="A16" s="11" t="n">
        <v>12</v>
      </c>
      <c r="B16" s="12" t="s">
        <v>134</v>
      </c>
      <c r="C16" s="13" t="s">
        <v>1552</v>
      </c>
      <c r="D16" s="13" t="s">
        <v>1553</v>
      </c>
      <c r="E16" s="13" t="s">
        <v>1554</v>
      </c>
      <c r="F16" s="16" t="s">
        <v>95</v>
      </c>
      <c r="G16" s="16"/>
    </row>
    <row r="17" customFormat="false" ht="15" hidden="false" customHeight="false" outlineLevel="0" collapsed="false">
      <c r="A17" s="11" t="n">
        <v>13</v>
      </c>
      <c r="B17" s="12" t="s">
        <v>1555</v>
      </c>
      <c r="C17" s="13" t="s">
        <v>1556</v>
      </c>
      <c r="D17" s="13" t="s">
        <v>1557</v>
      </c>
      <c r="E17" s="17" t="s">
        <v>1558</v>
      </c>
      <c r="F17" s="16" t="s">
        <v>95</v>
      </c>
      <c r="G17" s="16"/>
    </row>
    <row r="18" customFormat="false" ht="15" hidden="false" customHeight="false" outlineLevel="0" collapsed="false">
      <c r="A18" s="11" t="n">
        <v>14</v>
      </c>
      <c r="B18" s="12" t="s">
        <v>290</v>
      </c>
      <c r="C18" s="13" t="s">
        <v>1559</v>
      </c>
      <c r="D18" s="13" t="s">
        <v>1560</v>
      </c>
      <c r="E18" s="13" t="s">
        <v>1561</v>
      </c>
      <c r="F18" s="16" t="s">
        <v>95</v>
      </c>
      <c r="G18" s="16"/>
    </row>
    <row r="19" customFormat="false" ht="15" hidden="false" customHeight="false" outlineLevel="0" collapsed="false">
      <c r="A19" s="11" t="n">
        <v>15</v>
      </c>
      <c r="B19" s="12" t="s">
        <v>1562</v>
      </c>
      <c r="C19" s="13" t="s">
        <v>1563</v>
      </c>
      <c r="D19" s="13" t="s">
        <v>1564</v>
      </c>
      <c r="E19" s="13" t="s">
        <v>1565</v>
      </c>
      <c r="F19" s="16" t="s">
        <v>95</v>
      </c>
      <c r="G19" s="16"/>
    </row>
    <row r="20" customFormat="false" ht="15" hidden="false" customHeight="false" outlineLevel="0" collapsed="false">
      <c r="A20" s="11" t="n">
        <v>16</v>
      </c>
      <c r="B20" s="12" t="s">
        <v>851</v>
      </c>
      <c r="C20" s="13" t="s">
        <v>1566</v>
      </c>
      <c r="D20" s="13" t="s">
        <v>1567</v>
      </c>
      <c r="E20" s="17" t="s">
        <v>1568</v>
      </c>
      <c r="F20" s="16" t="s">
        <v>95</v>
      </c>
      <c r="G20" s="16"/>
    </row>
    <row r="21" customFormat="false" ht="26.85" hidden="false" customHeight="false" outlineLevel="0" collapsed="false">
      <c r="A21" s="11" t="n">
        <v>17</v>
      </c>
      <c r="B21" s="12" t="s">
        <v>785</v>
      </c>
      <c r="C21" s="13" t="s">
        <v>1569</v>
      </c>
      <c r="D21" s="13" t="s">
        <v>1570</v>
      </c>
      <c r="E21" s="17" t="s">
        <v>1571</v>
      </c>
      <c r="F21" s="16" t="s">
        <v>95</v>
      </c>
      <c r="G21" s="16"/>
    </row>
    <row r="22" customFormat="false" ht="15" hidden="false" customHeight="false" outlineLevel="0" collapsed="false">
      <c r="A22" s="11" t="n">
        <v>18</v>
      </c>
      <c r="B22" s="12" t="s">
        <v>1298</v>
      </c>
      <c r="C22" s="13" t="s">
        <v>1572</v>
      </c>
      <c r="D22" s="13" t="s">
        <v>1573</v>
      </c>
      <c r="E22" s="13" t="s">
        <v>1574</v>
      </c>
      <c r="F22" s="16" t="s">
        <v>95</v>
      </c>
      <c r="G22" s="16"/>
    </row>
    <row r="23" customFormat="false" ht="26.85" hidden="false" customHeight="false" outlineLevel="0" collapsed="false">
      <c r="A23" s="11" t="n">
        <v>19</v>
      </c>
      <c r="B23" s="12" t="s">
        <v>140</v>
      </c>
      <c r="C23" s="13" t="s">
        <v>1575</v>
      </c>
      <c r="D23" s="13" t="s">
        <v>1576</v>
      </c>
      <c r="E23" s="17" t="s">
        <v>1577</v>
      </c>
      <c r="F23" s="16" t="s">
        <v>95</v>
      </c>
      <c r="G23" s="16"/>
    </row>
    <row r="24" customFormat="false" ht="26.85" hidden="false" customHeight="false" outlineLevel="0" collapsed="false">
      <c r="A24" s="11" t="n">
        <v>20</v>
      </c>
      <c r="B24" s="12" t="s">
        <v>722</v>
      </c>
      <c r="C24" s="13" t="s">
        <v>1578</v>
      </c>
      <c r="D24" s="13" t="s">
        <v>1579</v>
      </c>
      <c r="E24" s="17" t="s">
        <v>1580</v>
      </c>
      <c r="F24" s="16" t="s">
        <v>95</v>
      </c>
      <c r="G24" s="16"/>
    </row>
    <row r="25" customFormat="false" ht="15" hidden="false" customHeight="false" outlineLevel="0" collapsed="false">
      <c r="A25" s="11" t="n">
        <v>21</v>
      </c>
      <c r="B25" s="12" t="s">
        <v>127</v>
      </c>
      <c r="C25" s="13" t="s">
        <v>1581</v>
      </c>
      <c r="D25" s="13" t="s">
        <v>1582</v>
      </c>
      <c r="E25" s="13" t="s">
        <v>1583</v>
      </c>
      <c r="F25" s="16" t="s">
        <v>95</v>
      </c>
      <c r="G25" s="16"/>
    </row>
    <row r="26" customFormat="false" ht="15" hidden="false" customHeight="false" outlineLevel="0" collapsed="false">
      <c r="A26" s="11" t="n">
        <v>22</v>
      </c>
      <c r="B26" s="12" t="s">
        <v>552</v>
      </c>
      <c r="C26" s="13" t="s">
        <v>1584</v>
      </c>
      <c r="D26" s="13" t="s">
        <v>1585</v>
      </c>
      <c r="E26" s="17" t="s">
        <v>1586</v>
      </c>
      <c r="F26" s="16" t="s">
        <v>95</v>
      </c>
      <c r="G26" s="16"/>
    </row>
    <row r="27" customFormat="false" ht="23.85" hidden="false" customHeight="false" outlineLevel="0" collapsed="false">
      <c r="A27" s="11" t="n">
        <v>23</v>
      </c>
      <c r="B27" s="12" t="s">
        <v>1587</v>
      </c>
      <c r="C27" s="13" t="s">
        <v>1588</v>
      </c>
      <c r="D27" s="13" t="s">
        <v>1589</v>
      </c>
      <c r="E27" s="13" t="s">
        <v>1590</v>
      </c>
      <c r="F27" s="16" t="s">
        <v>95</v>
      </c>
      <c r="G27" s="16"/>
    </row>
    <row r="28" customFormat="false" ht="15" hidden="false" customHeight="false" outlineLevel="0" collapsed="false">
      <c r="A28" s="11" t="n">
        <v>24</v>
      </c>
      <c r="B28" s="12" t="s">
        <v>1085</v>
      </c>
      <c r="C28" s="13" t="s">
        <v>1591</v>
      </c>
      <c r="D28" s="13" t="s">
        <v>67</v>
      </c>
      <c r="E28" s="13" t="s">
        <v>1592</v>
      </c>
      <c r="F28" s="16" t="s">
        <v>95</v>
      </c>
      <c r="G28" s="16"/>
    </row>
    <row r="29" customFormat="false" ht="15" hidden="false" customHeight="false" outlineLevel="0" collapsed="false">
      <c r="A29" s="11" t="n">
        <v>25</v>
      </c>
      <c r="B29" s="12" t="s">
        <v>1081</v>
      </c>
      <c r="C29" s="13" t="s">
        <v>1593</v>
      </c>
      <c r="D29" s="13" t="s">
        <v>1594</v>
      </c>
      <c r="E29" s="13" t="s">
        <v>1595</v>
      </c>
      <c r="F29" s="16" t="s">
        <v>95</v>
      </c>
      <c r="G29" s="16"/>
    </row>
    <row r="30" customFormat="false" ht="15" hidden="false" customHeight="false" outlineLevel="0" collapsed="false">
      <c r="A30" s="11" t="n">
        <v>26</v>
      </c>
      <c r="B30" s="12" t="s">
        <v>1075</v>
      </c>
      <c r="C30" s="13" t="s">
        <v>1596</v>
      </c>
      <c r="D30" s="13" t="s">
        <v>1597</v>
      </c>
      <c r="E30" s="13" t="s">
        <v>1598</v>
      </c>
      <c r="F30" s="16" t="s">
        <v>95</v>
      </c>
      <c r="G30" s="16"/>
    </row>
    <row r="31" customFormat="false" ht="15" hidden="false" customHeight="false" outlineLevel="0" collapsed="false">
      <c r="A31" s="11" t="n">
        <v>27</v>
      </c>
      <c r="B31" s="12" t="s">
        <v>1016</v>
      </c>
      <c r="C31" s="13" t="s">
        <v>1599</v>
      </c>
      <c r="D31" s="13" t="s">
        <v>67</v>
      </c>
      <c r="E31" s="13" t="s">
        <v>1600</v>
      </c>
      <c r="F31" s="16" t="s">
        <v>95</v>
      </c>
      <c r="G31" s="16"/>
    </row>
    <row r="32" customFormat="false" ht="15" hidden="false" customHeight="false" outlineLevel="0" collapsed="false">
      <c r="A32" s="11" t="n">
        <v>28</v>
      </c>
      <c r="B32" s="12" t="s">
        <v>1034</v>
      </c>
      <c r="C32" s="13" t="s">
        <v>1601</v>
      </c>
      <c r="D32" s="13" t="s">
        <v>1602</v>
      </c>
      <c r="E32" s="13" t="s">
        <v>1603</v>
      </c>
      <c r="F32" s="16" t="s">
        <v>95</v>
      </c>
      <c r="G32" s="16"/>
    </row>
    <row r="33" customFormat="false" ht="35.05" hidden="false" customHeight="false" outlineLevel="0" collapsed="false">
      <c r="A33" s="11" t="n">
        <v>29</v>
      </c>
      <c r="B33" s="12" t="s">
        <v>1604</v>
      </c>
      <c r="C33" s="13" t="s">
        <v>1605</v>
      </c>
      <c r="D33" s="13" t="s">
        <v>1606</v>
      </c>
      <c r="E33" s="17" t="s">
        <v>1607</v>
      </c>
      <c r="F33" s="16" t="s">
        <v>95</v>
      </c>
      <c r="G33" s="16"/>
    </row>
    <row r="34" customFormat="false" ht="26.85" hidden="false" customHeight="false" outlineLevel="0" collapsed="false">
      <c r="A34" s="11" t="n">
        <v>30</v>
      </c>
      <c r="B34" s="12" t="s">
        <v>625</v>
      </c>
      <c r="C34" s="13" t="s">
        <v>1608</v>
      </c>
      <c r="D34" s="13" t="s">
        <v>1609</v>
      </c>
      <c r="E34" s="17" t="s">
        <v>1610</v>
      </c>
      <c r="F34" s="16" t="s">
        <v>95</v>
      </c>
      <c r="G34" s="16"/>
    </row>
  </sheetData>
  <dataValidations count="1">
    <dataValidation allowBlank="true" errorStyle="stop" operator="between" showDropDown="false" showErrorMessage="false" showInputMessage="false" sqref="F5:F34" type="list">
      <formula1>"Not started,Researching,Contacted,Meeting set,Proposal / terms,Signed,On hold,Dead"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7.35" hidden="false" customHeight="false" outlineLevel="0" collapsed="false">
      <c r="A1" s="5" t="s">
        <v>1611</v>
      </c>
    </row>
    <row r="3" customFormat="false" ht="15" hidden="false" customHeight="false" outlineLevel="0" collapsed="false">
      <c r="A3" s="6" t="s">
        <v>1612</v>
      </c>
      <c r="B3" s="7"/>
    </row>
    <row r="4" customFormat="false" ht="23.85" hidden="false" customHeight="false" outlineLevel="0" collapsed="false">
      <c r="A4" s="8" t="s">
        <v>1613</v>
      </c>
      <c r="B4" s="3" t="s">
        <v>1614</v>
      </c>
    </row>
    <row r="5" customFormat="false" ht="23.85" hidden="false" customHeight="false" outlineLevel="0" collapsed="false">
      <c r="A5" s="8" t="s">
        <v>1615</v>
      </c>
      <c r="B5" s="3" t="s">
        <v>1616</v>
      </c>
    </row>
    <row r="6" customFormat="false" ht="23.85" hidden="false" customHeight="false" outlineLevel="0" collapsed="false">
      <c r="A6" s="8" t="s">
        <v>1617</v>
      </c>
      <c r="B6" s="3" t="s">
        <v>1618</v>
      </c>
    </row>
    <row r="7" customFormat="false" ht="15" hidden="false" customHeight="false" outlineLevel="0" collapsed="false">
      <c r="A7" s="8" t="s">
        <v>1619</v>
      </c>
      <c r="B7" s="3" t="s">
        <v>1620</v>
      </c>
    </row>
    <row r="8" customFormat="false" ht="15" hidden="false" customHeight="false" outlineLevel="0" collapsed="false">
      <c r="A8" s="8" t="s">
        <v>1621</v>
      </c>
      <c r="B8" s="3" t="s">
        <v>1622</v>
      </c>
    </row>
    <row r="9" customFormat="false" ht="23.85" hidden="false" customHeight="false" outlineLevel="0" collapsed="false">
      <c r="A9" s="8" t="s">
        <v>1623</v>
      </c>
      <c r="B9" s="3" t="s">
        <v>1624</v>
      </c>
    </row>
    <row r="10" customFormat="false" ht="15" hidden="false" customHeight="false" outlineLevel="0" collapsed="false">
      <c r="A10" s="6" t="s">
        <v>1625</v>
      </c>
      <c r="B10" s="7"/>
    </row>
    <row r="11" customFormat="false" ht="15" hidden="false" customHeight="false" outlineLevel="0" collapsed="false">
      <c r="A11" s="8" t="s">
        <v>1626</v>
      </c>
      <c r="B11" s="3" t="s">
        <v>1627</v>
      </c>
    </row>
    <row r="12" customFormat="false" ht="23.85" hidden="false" customHeight="false" outlineLevel="0" collapsed="false">
      <c r="A12" s="8" t="s">
        <v>1628</v>
      </c>
      <c r="B12" s="3" t="s">
        <v>1629</v>
      </c>
    </row>
    <row r="13" customFormat="false" ht="23.85" hidden="false" customHeight="false" outlineLevel="0" collapsed="false">
      <c r="A13" s="8" t="s">
        <v>1630</v>
      </c>
      <c r="B13" s="3" t="s">
        <v>1631</v>
      </c>
    </row>
    <row r="14" customFormat="false" ht="23.85" hidden="false" customHeight="false" outlineLevel="0" collapsed="false">
      <c r="A14" s="8" t="s">
        <v>1632</v>
      </c>
      <c r="B14" s="3" t="s">
        <v>1633</v>
      </c>
    </row>
    <row r="15" customFormat="false" ht="23.85" hidden="false" customHeight="false" outlineLevel="0" collapsed="false">
      <c r="A15" s="8" t="s">
        <v>1634</v>
      </c>
      <c r="B15" s="3" t="s">
        <v>1635</v>
      </c>
    </row>
    <row r="16" customFormat="false" ht="25.35" hidden="false" customHeight="false" outlineLevel="0" collapsed="false">
      <c r="A16" s="8" t="s">
        <v>1636</v>
      </c>
      <c r="B16" s="3" t="s">
        <v>1637</v>
      </c>
    </row>
    <row r="17" customFormat="false" ht="15" hidden="false" customHeight="false" outlineLevel="0" collapsed="false">
      <c r="A17" s="8" t="s">
        <v>1638</v>
      </c>
      <c r="B17" s="3" t="s">
        <v>1639</v>
      </c>
    </row>
    <row r="18" customFormat="false" ht="15" hidden="false" customHeight="false" outlineLevel="0" collapsed="false">
      <c r="A18" s="6" t="s">
        <v>1640</v>
      </c>
      <c r="B18" s="7"/>
    </row>
    <row r="19" customFormat="false" ht="15" hidden="false" customHeight="false" outlineLevel="0" collapsed="false">
      <c r="A19" s="8" t="s">
        <v>1641</v>
      </c>
      <c r="B19" s="3" t="s">
        <v>1642</v>
      </c>
    </row>
    <row r="20" customFormat="false" ht="15" hidden="false" customHeight="false" outlineLevel="0" collapsed="false">
      <c r="A20" s="8" t="s">
        <v>1643</v>
      </c>
      <c r="B20" s="3" t="s">
        <v>1644</v>
      </c>
    </row>
    <row r="21" customFormat="false" ht="15" hidden="false" customHeight="false" outlineLevel="0" collapsed="false">
      <c r="A21" s="8" t="s">
        <v>1645</v>
      </c>
      <c r="B21" s="3" t="s">
        <v>1646</v>
      </c>
    </row>
    <row r="22" customFormat="false" ht="15" hidden="false" customHeight="false" outlineLevel="0" collapsed="false">
      <c r="A22" s="6" t="s">
        <v>1647</v>
      </c>
      <c r="B22" s="7"/>
    </row>
    <row r="23" customFormat="false" ht="23.85" hidden="false" customHeight="false" outlineLevel="0" collapsed="false">
      <c r="A23" s="8" t="s">
        <v>1648</v>
      </c>
      <c r="B23" s="3" t="s">
        <v>1649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9.7" hidden="false" customHeight="false" outlineLevel="0" collapsed="false">
      <c r="A1" s="26" t="s">
        <v>1650</v>
      </c>
    </row>
    <row r="2" customFormat="false" ht="15" hidden="false" customHeight="false" outlineLevel="0" collapsed="false">
      <c r="A2" s="27" t="s">
        <v>1651</v>
      </c>
    </row>
    <row r="4" customFormat="false" ht="16.15" hidden="false" customHeight="false" outlineLevel="0" collapsed="false">
      <c r="A4" s="28" t="s">
        <v>1652</v>
      </c>
    </row>
    <row r="5" customFormat="false" ht="108" hidden="false" customHeight="true" outlineLevel="0" collapsed="false">
      <c r="A5" s="3" t="s">
        <v>1653</v>
      </c>
    </row>
    <row r="6" customFormat="false" ht="90" hidden="false" customHeight="true" outlineLevel="0" collapsed="false">
      <c r="A6" s="3" t="s">
        <v>1654</v>
      </c>
    </row>
    <row r="7" customFormat="false" ht="72" hidden="false" customHeight="true" outlineLevel="0" collapsed="false">
      <c r="A7" s="3" t="s">
        <v>1655</v>
      </c>
    </row>
    <row r="9" customFormat="false" ht="16.15" hidden="false" customHeight="false" outlineLevel="0" collapsed="false">
      <c r="A9" s="28" t="s">
        <v>1656</v>
      </c>
    </row>
    <row r="10" customFormat="false" ht="18" hidden="false" customHeight="true" outlineLevel="0" collapsed="false">
      <c r="A10" s="8" t="s">
        <v>1657</v>
      </c>
    </row>
    <row r="11" customFormat="false" ht="54" hidden="false" customHeight="true" outlineLevel="0" collapsed="false">
      <c r="A11" s="3" t="s">
        <v>1658</v>
      </c>
    </row>
    <row r="12" customFormat="false" ht="54" hidden="false" customHeight="true" outlineLevel="0" collapsed="false">
      <c r="A12" s="3" t="s">
        <v>1659</v>
      </c>
    </row>
    <row r="13" customFormat="false" ht="54" hidden="false" customHeight="true" outlineLevel="0" collapsed="false">
      <c r="A13" s="3" t="s">
        <v>1660</v>
      </c>
    </row>
    <row r="14" customFormat="false" ht="18" hidden="false" customHeight="true" outlineLevel="0" collapsed="false">
      <c r="A14" s="8" t="s">
        <v>1661</v>
      </c>
    </row>
    <row r="15" customFormat="false" ht="36" hidden="false" customHeight="true" outlineLevel="0" collapsed="false">
      <c r="A15" s="3" t="s">
        <v>1662</v>
      </c>
    </row>
    <row r="16" customFormat="false" ht="72" hidden="false" customHeight="true" outlineLevel="0" collapsed="false">
      <c r="A16" s="3" t="s">
        <v>1663</v>
      </c>
    </row>
    <row r="17" customFormat="false" ht="54" hidden="false" customHeight="true" outlineLevel="0" collapsed="false">
      <c r="A17" s="3" t="s">
        <v>1664</v>
      </c>
    </row>
    <row r="19" customFormat="false" ht="16.15" hidden="false" customHeight="false" outlineLevel="0" collapsed="false">
      <c r="A19" s="28" t="s">
        <v>1665</v>
      </c>
    </row>
    <row r="20" customFormat="false" ht="126" hidden="false" customHeight="true" outlineLevel="0" collapsed="false">
      <c r="A20" s="3" t="s">
        <v>1666</v>
      </c>
    </row>
    <row r="22" customFormat="false" ht="16.15" hidden="false" customHeight="false" outlineLevel="0" collapsed="false">
      <c r="A22" s="28" t="s">
        <v>1667</v>
      </c>
    </row>
    <row r="23" customFormat="false" ht="126" hidden="false" customHeight="true" outlineLevel="0" collapsed="false">
      <c r="A23" s="3" t="s">
        <v>1668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20"/>
    <col collapsed="false" customWidth="true" hidden="false" outlineLevel="0" max="4" min="4" style="0" width="30"/>
    <col collapsed="false" customWidth="true" hidden="false" outlineLevel="0" max="5" min="5" style="0" width="18"/>
    <col collapsed="false" customWidth="true" hidden="false" outlineLevel="0" max="6" min="6" style="0" width="46"/>
    <col collapsed="false" customWidth="true" hidden="false" outlineLevel="0" max="7" min="7" style="0" width="42"/>
    <col collapsed="false" customWidth="true" hidden="false" outlineLevel="0" max="8" min="8" style="0" width="20"/>
    <col collapsed="false" customWidth="true" hidden="false" outlineLevel="0" max="9" min="9" style="0" width="26"/>
  </cols>
  <sheetData>
    <row r="1" customFormat="false" ht="19.7" hidden="false" customHeight="false" outlineLevel="0" collapsed="false">
      <c r="A1" s="29" t="s">
        <v>1669</v>
      </c>
      <c r="B1" s="29"/>
      <c r="C1" s="29"/>
      <c r="D1" s="29"/>
      <c r="E1" s="29"/>
      <c r="F1" s="29"/>
      <c r="G1" s="29"/>
      <c r="H1" s="29"/>
      <c r="I1" s="29"/>
    </row>
    <row r="2" customFormat="false" ht="15" hidden="false" customHeight="false" outlineLevel="0" collapsed="false">
      <c r="A2" s="27" t="s">
        <v>1670</v>
      </c>
    </row>
    <row r="4" customFormat="false" ht="15" hidden="false" customHeight="false" outlineLevel="0" collapsed="false">
      <c r="A4" s="30" t="s">
        <v>63</v>
      </c>
      <c r="B4" s="30" t="s">
        <v>61</v>
      </c>
      <c r="C4" s="30" t="s">
        <v>1671</v>
      </c>
      <c r="D4" s="30" t="s">
        <v>1672</v>
      </c>
      <c r="E4" s="30" t="s">
        <v>71</v>
      </c>
      <c r="F4" s="30" t="s">
        <v>72</v>
      </c>
      <c r="G4" s="30" t="s">
        <v>73</v>
      </c>
      <c r="H4" s="30" t="s">
        <v>74</v>
      </c>
      <c r="I4" s="30" t="s">
        <v>76</v>
      </c>
    </row>
    <row r="5" customFormat="false" ht="60" hidden="false" customHeight="true" outlineLevel="0" collapsed="false">
      <c r="A5" s="31" t="s">
        <v>1673</v>
      </c>
      <c r="B5" s="32" t="s">
        <v>1674</v>
      </c>
      <c r="C5" s="32" t="s">
        <v>1675</v>
      </c>
      <c r="D5" s="32" t="s">
        <v>1676</v>
      </c>
      <c r="E5" s="32" t="s">
        <v>892</v>
      </c>
      <c r="F5" s="32" t="s">
        <v>893</v>
      </c>
      <c r="G5" s="32" t="s">
        <v>894</v>
      </c>
      <c r="H5" s="32" t="s">
        <v>1677</v>
      </c>
      <c r="I5" s="32" t="s">
        <v>895</v>
      </c>
    </row>
    <row r="6" customFormat="false" ht="60" hidden="false" customHeight="true" outlineLevel="0" collapsed="false">
      <c r="A6" s="31" t="s">
        <v>1673</v>
      </c>
      <c r="B6" s="32" t="s">
        <v>1678</v>
      </c>
      <c r="C6" s="32" t="s">
        <v>1679</v>
      </c>
      <c r="D6" s="32" t="s">
        <v>1492</v>
      </c>
      <c r="E6" s="32" t="s">
        <v>916</v>
      </c>
      <c r="F6" s="32" t="s">
        <v>917</v>
      </c>
      <c r="G6" s="32" t="s">
        <v>918</v>
      </c>
      <c r="H6" s="32" t="s">
        <v>1680</v>
      </c>
      <c r="I6" s="32" t="s">
        <v>919</v>
      </c>
    </row>
    <row r="7" customFormat="false" ht="60" hidden="false" customHeight="true" outlineLevel="0" collapsed="false">
      <c r="A7" s="31" t="s">
        <v>1673</v>
      </c>
      <c r="B7" s="32" t="s">
        <v>1681</v>
      </c>
      <c r="C7" s="32" t="s">
        <v>1679</v>
      </c>
      <c r="D7" s="32" t="s">
        <v>1682</v>
      </c>
      <c r="E7" s="32" t="s">
        <v>922</v>
      </c>
      <c r="F7" s="32" t="s">
        <v>923</v>
      </c>
      <c r="G7" s="32" t="s">
        <v>924</v>
      </c>
      <c r="H7" s="32" t="s">
        <v>1680</v>
      </c>
      <c r="I7" s="32" t="s">
        <v>925</v>
      </c>
    </row>
    <row r="8" customFormat="false" ht="60" hidden="false" customHeight="true" outlineLevel="0" collapsed="false">
      <c r="A8" s="31" t="s">
        <v>1673</v>
      </c>
      <c r="B8" s="32" t="s">
        <v>896</v>
      </c>
      <c r="C8" s="32" t="s">
        <v>1679</v>
      </c>
      <c r="D8" s="32" t="s">
        <v>1492</v>
      </c>
      <c r="E8" s="32" t="s">
        <v>898</v>
      </c>
      <c r="F8" s="32" t="s">
        <v>899</v>
      </c>
      <c r="G8" s="32" t="s">
        <v>900</v>
      </c>
      <c r="H8" s="33" t="s">
        <v>91</v>
      </c>
      <c r="I8" s="32" t="s">
        <v>901</v>
      </c>
    </row>
    <row r="9" customFormat="false" ht="60" hidden="false" customHeight="true" outlineLevel="0" collapsed="false">
      <c r="A9" s="31" t="s">
        <v>1673</v>
      </c>
      <c r="B9" s="32" t="s">
        <v>926</v>
      </c>
      <c r="C9" s="32" t="s">
        <v>1679</v>
      </c>
      <c r="D9" s="32" t="s">
        <v>1492</v>
      </c>
      <c r="E9" s="32" t="s">
        <v>928</v>
      </c>
      <c r="F9" s="32" t="s">
        <v>929</v>
      </c>
      <c r="G9" s="32" t="s">
        <v>423</v>
      </c>
      <c r="H9" s="32" t="s">
        <v>1683</v>
      </c>
      <c r="I9" s="32" t="s">
        <v>930</v>
      </c>
    </row>
    <row r="10" customFormat="false" ht="60" hidden="false" customHeight="true" outlineLevel="0" collapsed="false">
      <c r="A10" s="31" t="s">
        <v>1673</v>
      </c>
      <c r="B10" s="32" t="s">
        <v>1684</v>
      </c>
      <c r="C10" s="32" t="s">
        <v>1679</v>
      </c>
      <c r="D10" s="32" t="s">
        <v>1492</v>
      </c>
      <c r="E10" s="32" t="s">
        <v>1685</v>
      </c>
      <c r="F10" s="32" t="s">
        <v>1686</v>
      </c>
      <c r="G10" s="32" t="s">
        <v>1687</v>
      </c>
      <c r="H10" s="32" t="s">
        <v>1688</v>
      </c>
      <c r="I10" s="32" t="s">
        <v>1689</v>
      </c>
    </row>
    <row r="11" customFormat="false" ht="60" hidden="false" customHeight="true" outlineLevel="0" collapsed="false">
      <c r="A11" s="34" t="s">
        <v>1690</v>
      </c>
      <c r="B11" s="32" t="s">
        <v>785</v>
      </c>
      <c r="C11" s="32" t="s">
        <v>1691</v>
      </c>
      <c r="D11" s="32" t="s">
        <v>1692</v>
      </c>
      <c r="E11" s="32" t="s">
        <v>788</v>
      </c>
      <c r="F11" s="32" t="s">
        <v>789</v>
      </c>
      <c r="G11" s="32" t="s">
        <v>790</v>
      </c>
      <c r="H11" s="35" t="s">
        <v>152</v>
      </c>
      <c r="I11" s="32" t="s">
        <v>791</v>
      </c>
    </row>
    <row r="12" customFormat="false" ht="60" hidden="false" customHeight="true" outlineLevel="0" collapsed="false">
      <c r="A12" s="34" t="s">
        <v>1690</v>
      </c>
      <c r="B12" s="32" t="s">
        <v>793</v>
      </c>
      <c r="C12" s="32" t="s">
        <v>1691</v>
      </c>
      <c r="D12" s="32" t="s">
        <v>1693</v>
      </c>
      <c r="E12" s="32" t="s">
        <v>788</v>
      </c>
      <c r="F12" s="32" t="s">
        <v>795</v>
      </c>
      <c r="G12" s="32" t="s">
        <v>796</v>
      </c>
      <c r="H12" s="35" t="s">
        <v>152</v>
      </c>
      <c r="I12" s="32" t="s">
        <v>797</v>
      </c>
    </row>
    <row r="13" customFormat="false" ht="60" hidden="false" customHeight="true" outlineLevel="0" collapsed="false">
      <c r="A13" s="34" t="s">
        <v>1690</v>
      </c>
      <c r="B13" s="32" t="s">
        <v>799</v>
      </c>
      <c r="C13" s="32" t="s">
        <v>1691</v>
      </c>
      <c r="D13" s="32" t="s">
        <v>1693</v>
      </c>
      <c r="E13" s="32" t="s">
        <v>788</v>
      </c>
      <c r="F13" s="32" t="s">
        <v>801</v>
      </c>
      <c r="G13" s="32" t="s">
        <v>802</v>
      </c>
      <c r="H13" s="35" t="s">
        <v>152</v>
      </c>
      <c r="I13" s="32" t="s">
        <v>797</v>
      </c>
    </row>
    <row r="14" customFormat="false" ht="60" hidden="false" customHeight="true" outlineLevel="0" collapsed="false">
      <c r="A14" s="34" t="s">
        <v>1690</v>
      </c>
      <c r="B14" s="32" t="s">
        <v>803</v>
      </c>
      <c r="C14" s="32" t="s">
        <v>1691</v>
      </c>
      <c r="D14" s="32" t="s">
        <v>1693</v>
      </c>
      <c r="E14" s="32" t="s">
        <v>788</v>
      </c>
      <c r="F14" s="32" t="s">
        <v>804</v>
      </c>
      <c r="G14" s="32" t="s">
        <v>805</v>
      </c>
      <c r="H14" s="35" t="s">
        <v>152</v>
      </c>
      <c r="I14" s="32" t="s">
        <v>806</v>
      </c>
    </row>
    <row r="15" customFormat="false" ht="60" hidden="false" customHeight="true" outlineLevel="0" collapsed="false">
      <c r="A15" s="34" t="s">
        <v>1690</v>
      </c>
      <c r="B15" s="32" t="s">
        <v>831</v>
      </c>
      <c r="C15" s="32" t="s">
        <v>1691</v>
      </c>
      <c r="D15" s="32" t="s">
        <v>1492</v>
      </c>
      <c r="E15" s="32" t="s">
        <v>833</v>
      </c>
      <c r="F15" s="32" t="s">
        <v>801</v>
      </c>
      <c r="G15" s="32" t="s">
        <v>802</v>
      </c>
      <c r="H15" s="35" t="s">
        <v>186</v>
      </c>
      <c r="I15" s="32" t="s">
        <v>797</v>
      </c>
    </row>
    <row r="16" customFormat="false" ht="60" hidden="false" customHeight="true" outlineLevel="0" collapsed="false">
      <c r="A16" s="34" t="s">
        <v>1690</v>
      </c>
      <c r="B16" s="32" t="s">
        <v>807</v>
      </c>
      <c r="C16" s="32" t="s">
        <v>1694</v>
      </c>
      <c r="D16" s="32" t="s">
        <v>1492</v>
      </c>
      <c r="E16" s="32" t="s">
        <v>809</v>
      </c>
      <c r="F16" s="32" t="s">
        <v>810</v>
      </c>
      <c r="G16" s="32" t="s">
        <v>811</v>
      </c>
      <c r="H16" s="35" t="s">
        <v>152</v>
      </c>
      <c r="I16" s="32" t="s">
        <v>797</v>
      </c>
    </row>
    <row r="17" customFormat="false" ht="60" hidden="false" customHeight="true" outlineLevel="0" collapsed="false">
      <c r="A17" s="36" t="s">
        <v>1695</v>
      </c>
      <c r="B17" s="32" t="s">
        <v>858</v>
      </c>
      <c r="C17" s="32" t="s">
        <v>1696</v>
      </c>
      <c r="D17" s="32" t="s">
        <v>1697</v>
      </c>
      <c r="E17" s="32" t="s">
        <v>488</v>
      </c>
      <c r="F17" s="32" t="s">
        <v>860</v>
      </c>
      <c r="G17" s="32" t="s">
        <v>861</v>
      </c>
      <c r="H17" s="35" t="s">
        <v>152</v>
      </c>
      <c r="I17" s="32" t="s">
        <v>862</v>
      </c>
    </row>
    <row r="18" customFormat="false" ht="60" hidden="false" customHeight="true" outlineLevel="0" collapsed="false">
      <c r="A18" s="36" t="s">
        <v>1695</v>
      </c>
      <c r="B18" s="32" t="s">
        <v>869</v>
      </c>
      <c r="C18" s="32" t="s">
        <v>1696</v>
      </c>
      <c r="D18" s="32" t="s">
        <v>1492</v>
      </c>
      <c r="E18" s="32" t="s">
        <v>488</v>
      </c>
      <c r="F18" s="32" t="s">
        <v>871</v>
      </c>
      <c r="G18" s="32" t="s">
        <v>872</v>
      </c>
      <c r="H18" s="35" t="s">
        <v>186</v>
      </c>
      <c r="I18" s="32" t="s">
        <v>582</v>
      </c>
    </row>
    <row r="19" customFormat="false" ht="60" hidden="false" customHeight="true" outlineLevel="0" collapsed="false">
      <c r="A19" s="36" t="s">
        <v>1695</v>
      </c>
      <c r="B19" s="32" t="s">
        <v>851</v>
      </c>
      <c r="C19" s="32" t="s">
        <v>1696</v>
      </c>
      <c r="D19" s="32" t="s">
        <v>1698</v>
      </c>
      <c r="E19" s="32" t="s">
        <v>854</v>
      </c>
      <c r="F19" s="32" t="s">
        <v>855</v>
      </c>
      <c r="G19" s="32" t="s">
        <v>856</v>
      </c>
      <c r="H19" s="33" t="s">
        <v>91</v>
      </c>
      <c r="I19" s="32" t="s">
        <v>857</v>
      </c>
    </row>
    <row r="20" customFormat="false" ht="60" hidden="false" customHeight="true" outlineLevel="0" collapsed="false">
      <c r="A20" s="36" t="s">
        <v>1695</v>
      </c>
      <c r="B20" s="32" t="s">
        <v>874</v>
      </c>
      <c r="C20" s="32" t="s">
        <v>1696</v>
      </c>
      <c r="D20" s="32" t="s">
        <v>1492</v>
      </c>
      <c r="E20" s="32" t="s">
        <v>488</v>
      </c>
      <c r="F20" s="32" t="s">
        <v>876</v>
      </c>
      <c r="G20" s="32" t="s">
        <v>877</v>
      </c>
      <c r="H20" s="35" t="s">
        <v>186</v>
      </c>
      <c r="I20" s="32" t="s">
        <v>734</v>
      </c>
    </row>
    <row r="21" customFormat="false" ht="60" hidden="false" customHeight="true" outlineLevel="0" collapsed="false">
      <c r="A21" s="36" t="s">
        <v>1695</v>
      </c>
      <c r="B21" s="32" t="s">
        <v>878</v>
      </c>
      <c r="C21" s="32" t="s">
        <v>1696</v>
      </c>
      <c r="D21" s="32" t="s">
        <v>1699</v>
      </c>
      <c r="E21" s="32" t="s">
        <v>880</v>
      </c>
      <c r="F21" s="32" t="s">
        <v>881</v>
      </c>
      <c r="G21" s="32" t="s">
        <v>882</v>
      </c>
      <c r="H21" s="32" t="s">
        <v>1700</v>
      </c>
      <c r="I21" s="32" t="s">
        <v>883</v>
      </c>
    </row>
    <row r="22" customFormat="false" ht="60" hidden="false" customHeight="true" outlineLevel="0" collapsed="false">
      <c r="A22" s="37" t="s">
        <v>1701</v>
      </c>
      <c r="B22" s="32" t="s">
        <v>260</v>
      </c>
      <c r="C22" s="32" t="s">
        <v>1702</v>
      </c>
      <c r="D22" s="32" t="s">
        <v>1703</v>
      </c>
      <c r="E22" s="32" t="s">
        <v>264</v>
      </c>
      <c r="F22" s="32" t="s">
        <v>265</v>
      </c>
      <c r="G22" s="32" t="s">
        <v>266</v>
      </c>
      <c r="H22" s="33" t="s">
        <v>91</v>
      </c>
      <c r="I22" s="32" t="s">
        <v>267</v>
      </c>
    </row>
    <row r="23" customFormat="false" ht="60" hidden="false" customHeight="true" outlineLevel="0" collapsed="false">
      <c r="A23" s="37" t="s">
        <v>1701</v>
      </c>
      <c r="B23" s="32" t="s">
        <v>1704</v>
      </c>
      <c r="C23" s="32" t="s">
        <v>1705</v>
      </c>
      <c r="D23" s="32" t="s">
        <v>1693</v>
      </c>
      <c r="E23" s="32" t="s">
        <v>273</v>
      </c>
      <c r="F23" s="32" t="s">
        <v>274</v>
      </c>
      <c r="G23" s="32" t="s">
        <v>275</v>
      </c>
      <c r="H23" s="33" t="s">
        <v>91</v>
      </c>
      <c r="I23" s="32" t="s">
        <v>276</v>
      </c>
    </row>
    <row r="24" customFormat="false" ht="60" hidden="false" customHeight="true" outlineLevel="0" collapsed="false">
      <c r="A24" s="37" t="s">
        <v>1701</v>
      </c>
      <c r="B24" s="32" t="s">
        <v>278</v>
      </c>
      <c r="C24" s="32" t="s">
        <v>1706</v>
      </c>
      <c r="D24" s="32" t="s">
        <v>1699</v>
      </c>
      <c r="E24" s="32" t="s">
        <v>280</v>
      </c>
      <c r="F24" s="32" t="s">
        <v>281</v>
      </c>
      <c r="G24" s="32" t="s">
        <v>282</v>
      </c>
      <c r="H24" s="33" t="s">
        <v>91</v>
      </c>
      <c r="I24" s="32" t="s">
        <v>283</v>
      </c>
    </row>
    <row r="25" customFormat="false" ht="60" hidden="false" customHeight="true" outlineLevel="0" collapsed="false">
      <c r="A25" s="37" t="s">
        <v>1701</v>
      </c>
      <c r="B25" s="32" t="s">
        <v>284</v>
      </c>
      <c r="C25" s="32" t="s">
        <v>1707</v>
      </c>
      <c r="D25" s="32" t="s">
        <v>1492</v>
      </c>
      <c r="E25" s="32" t="s">
        <v>286</v>
      </c>
      <c r="F25" s="32" t="s">
        <v>287</v>
      </c>
      <c r="G25" s="32" t="s">
        <v>288</v>
      </c>
      <c r="H25" s="33" t="s">
        <v>91</v>
      </c>
      <c r="I25" s="32" t="s">
        <v>289</v>
      </c>
    </row>
    <row r="26" customFormat="false" ht="60" hidden="false" customHeight="true" outlineLevel="0" collapsed="false">
      <c r="A26" s="37" t="s">
        <v>1701</v>
      </c>
      <c r="B26" s="32" t="s">
        <v>290</v>
      </c>
      <c r="C26" s="32" t="s">
        <v>1708</v>
      </c>
      <c r="D26" s="32" t="s">
        <v>1492</v>
      </c>
      <c r="E26" s="32" t="s">
        <v>293</v>
      </c>
      <c r="F26" s="32" t="s">
        <v>294</v>
      </c>
      <c r="G26" s="32" t="s">
        <v>295</v>
      </c>
      <c r="H26" s="33" t="s">
        <v>91</v>
      </c>
      <c r="I26" s="32" t="s">
        <v>296</v>
      </c>
    </row>
    <row r="27" customFormat="false" ht="60" hidden="false" customHeight="true" outlineLevel="0" collapsed="false">
      <c r="A27" s="37" t="s">
        <v>1701</v>
      </c>
      <c r="B27" s="32" t="s">
        <v>323</v>
      </c>
      <c r="C27" s="32" t="s">
        <v>1709</v>
      </c>
      <c r="D27" s="32" t="s">
        <v>1492</v>
      </c>
      <c r="E27" s="32" t="s">
        <v>326</v>
      </c>
      <c r="F27" s="32" t="s">
        <v>327</v>
      </c>
      <c r="G27" s="32" t="s">
        <v>328</v>
      </c>
      <c r="H27" s="35" t="s">
        <v>152</v>
      </c>
      <c r="I27" s="32" t="s">
        <v>329</v>
      </c>
    </row>
    <row r="28" customFormat="false" ht="60" hidden="false" customHeight="true" outlineLevel="0" collapsed="false">
      <c r="A28" s="37" t="s">
        <v>1701</v>
      </c>
      <c r="B28" s="32" t="s">
        <v>1710</v>
      </c>
      <c r="C28" s="32" t="s">
        <v>1711</v>
      </c>
      <c r="D28" s="32" t="s">
        <v>1492</v>
      </c>
      <c r="E28" s="32" t="s">
        <v>1712</v>
      </c>
      <c r="F28" s="32" t="s">
        <v>1713</v>
      </c>
      <c r="G28" s="32" t="s">
        <v>1714</v>
      </c>
      <c r="H28" s="32" t="s">
        <v>1683</v>
      </c>
      <c r="I28" s="32" t="s">
        <v>1689</v>
      </c>
    </row>
    <row r="29" customFormat="false" ht="60" hidden="false" customHeight="true" outlineLevel="0" collapsed="false">
      <c r="A29" s="38" t="s">
        <v>689</v>
      </c>
      <c r="B29" s="32" t="s">
        <v>687</v>
      </c>
      <c r="C29" s="32" t="s">
        <v>1715</v>
      </c>
      <c r="D29" s="32" t="s">
        <v>1716</v>
      </c>
      <c r="E29" s="32" t="s">
        <v>691</v>
      </c>
      <c r="F29" s="32" t="s">
        <v>692</v>
      </c>
      <c r="G29" s="32" t="s">
        <v>693</v>
      </c>
      <c r="H29" s="33" t="s">
        <v>91</v>
      </c>
      <c r="I29" s="32" t="s">
        <v>694</v>
      </c>
    </row>
    <row r="30" customFormat="false" ht="60" hidden="false" customHeight="true" outlineLevel="0" collapsed="false">
      <c r="A30" s="38" t="s">
        <v>689</v>
      </c>
      <c r="B30" s="32" t="s">
        <v>695</v>
      </c>
      <c r="C30" s="32" t="s">
        <v>689</v>
      </c>
      <c r="D30" s="32" t="s">
        <v>1716</v>
      </c>
      <c r="E30" s="32" t="s">
        <v>286</v>
      </c>
      <c r="F30" s="32" t="s">
        <v>697</v>
      </c>
      <c r="G30" s="32" t="s">
        <v>698</v>
      </c>
      <c r="H30" s="35" t="s">
        <v>152</v>
      </c>
      <c r="I30" s="32" t="s">
        <v>699</v>
      </c>
    </row>
    <row r="31" customFormat="false" ht="60" hidden="false" customHeight="true" outlineLevel="0" collapsed="false">
      <c r="A31" s="38" t="s">
        <v>689</v>
      </c>
      <c r="B31" s="32" t="s">
        <v>705</v>
      </c>
      <c r="C31" s="32" t="s">
        <v>1717</v>
      </c>
      <c r="D31" s="32" t="s">
        <v>1492</v>
      </c>
      <c r="E31" s="32" t="s">
        <v>575</v>
      </c>
      <c r="F31" s="32" t="s">
        <v>707</v>
      </c>
      <c r="G31" s="32" t="s">
        <v>708</v>
      </c>
      <c r="H31" s="32" t="s">
        <v>1700</v>
      </c>
      <c r="I31" s="32" t="s">
        <v>709</v>
      </c>
    </row>
    <row r="32" customFormat="false" ht="60" hidden="false" customHeight="true" outlineLevel="0" collapsed="false">
      <c r="A32" s="38" t="s">
        <v>689</v>
      </c>
      <c r="B32" s="32" t="s">
        <v>710</v>
      </c>
      <c r="C32" s="32" t="s">
        <v>1717</v>
      </c>
      <c r="D32" s="32" t="s">
        <v>1492</v>
      </c>
      <c r="E32" s="32" t="s">
        <v>488</v>
      </c>
      <c r="F32" s="32" t="s">
        <v>712</v>
      </c>
      <c r="G32" s="32" t="s">
        <v>713</v>
      </c>
      <c r="H32" s="32" t="s">
        <v>1700</v>
      </c>
      <c r="I32" s="32" t="s">
        <v>709</v>
      </c>
    </row>
    <row r="33" customFormat="false" ht="60" hidden="false" customHeight="true" outlineLevel="0" collapsed="false">
      <c r="A33" s="38" t="s">
        <v>689</v>
      </c>
      <c r="B33" s="32" t="s">
        <v>714</v>
      </c>
      <c r="C33" s="32" t="s">
        <v>1717</v>
      </c>
      <c r="D33" s="32" t="s">
        <v>1492</v>
      </c>
      <c r="E33" s="32" t="s">
        <v>488</v>
      </c>
      <c r="F33" s="32" t="s">
        <v>716</v>
      </c>
      <c r="G33" s="32" t="s">
        <v>713</v>
      </c>
      <c r="H33" s="32" t="s">
        <v>1700</v>
      </c>
      <c r="I33" s="32" t="s">
        <v>709</v>
      </c>
    </row>
    <row r="34" customFormat="false" ht="60" hidden="false" customHeight="true" outlineLevel="0" collapsed="false">
      <c r="A34" s="39" t="s">
        <v>541</v>
      </c>
      <c r="B34" s="32" t="s">
        <v>558</v>
      </c>
      <c r="C34" s="32" t="s">
        <v>1718</v>
      </c>
      <c r="D34" s="32" t="s">
        <v>1719</v>
      </c>
      <c r="E34" s="32" t="s">
        <v>561</v>
      </c>
      <c r="F34" s="32" t="s">
        <v>562</v>
      </c>
      <c r="G34" s="32" t="s">
        <v>563</v>
      </c>
      <c r="H34" s="33" t="s">
        <v>91</v>
      </c>
      <c r="I34" s="32" t="s">
        <v>564</v>
      </c>
    </row>
    <row r="35" customFormat="false" ht="60" hidden="false" customHeight="true" outlineLevel="0" collapsed="false">
      <c r="A35" s="39" t="s">
        <v>541</v>
      </c>
      <c r="B35" s="32" t="s">
        <v>545</v>
      </c>
      <c r="C35" s="32" t="s">
        <v>1718</v>
      </c>
      <c r="D35" s="32" t="s">
        <v>1720</v>
      </c>
      <c r="E35" s="32" t="s">
        <v>547</v>
      </c>
      <c r="F35" s="32" t="s">
        <v>548</v>
      </c>
      <c r="G35" s="32" t="s">
        <v>549</v>
      </c>
      <c r="H35" s="32" t="s">
        <v>124</v>
      </c>
      <c r="I35" s="32" t="s">
        <v>550</v>
      </c>
    </row>
    <row r="36" customFormat="false" ht="60" hidden="false" customHeight="true" outlineLevel="0" collapsed="false">
      <c r="A36" s="39" t="s">
        <v>541</v>
      </c>
      <c r="B36" s="32" t="s">
        <v>566</v>
      </c>
      <c r="C36" s="32" t="s">
        <v>1721</v>
      </c>
      <c r="D36" s="32" t="s">
        <v>1492</v>
      </c>
      <c r="E36" s="32" t="s">
        <v>569</v>
      </c>
      <c r="F36" s="32" t="s">
        <v>570</v>
      </c>
      <c r="G36" s="32" t="s">
        <v>571</v>
      </c>
      <c r="H36" s="35" t="s">
        <v>152</v>
      </c>
      <c r="I36" s="32" t="s">
        <v>432</v>
      </c>
    </row>
    <row r="37" customFormat="false" ht="60" hidden="false" customHeight="true" outlineLevel="0" collapsed="false">
      <c r="A37" s="39" t="s">
        <v>541</v>
      </c>
      <c r="B37" s="32" t="s">
        <v>572</v>
      </c>
      <c r="C37" s="32" t="s">
        <v>1722</v>
      </c>
      <c r="D37" s="32" t="s">
        <v>1492</v>
      </c>
      <c r="E37" s="32" t="s">
        <v>575</v>
      </c>
      <c r="F37" s="32" t="s">
        <v>576</v>
      </c>
      <c r="G37" s="32" t="s">
        <v>577</v>
      </c>
      <c r="H37" s="35" t="s">
        <v>152</v>
      </c>
      <c r="I37" s="32" t="s">
        <v>432</v>
      </c>
    </row>
    <row r="38" customFormat="false" ht="60" hidden="false" customHeight="true" outlineLevel="0" collapsed="false">
      <c r="A38" s="40" t="s">
        <v>1723</v>
      </c>
      <c r="B38" s="32" t="s">
        <v>204</v>
      </c>
      <c r="C38" s="32" t="s">
        <v>1724</v>
      </c>
      <c r="D38" s="32" t="s">
        <v>1725</v>
      </c>
      <c r="E38" s="32" t="s">
        <v>1726</v>
      </c>
      <c r="F38" s="32" t="s">
        <v>1727</v>
      </c>
      <c r="G38" s="32" t="s">
        <v>1728</v>
      </c>
      <c r="H38" s="32" t="s">
        <v>1729</v>
      </c>
      <c r="I38" s="32" t="s">
        <v>1730</v>
      </c>
    </row>
    <row r="39" customFormat="false" ht="60" hidden="false" customHeight="true" outlineLevel="0" collapsed="false">
      <c r="A39" s="40" t="s">
        <v>1723</v>
      </c>
      <c r="B39" s="32" t="s">
        <v>1731</v>
      </c>
      <c r="C39" s="32" t="s">
        <v>1732</v>
      </c>
      <c r="D39" s="32" t="s">
        <v>1733</v>
      </c>
      <c r="E39" s="32" t="s">
        <v>1734</v>
      </c>
      <c r="F39" s="32" t="s">
        <v>1735</v>
      </c>
      <c r="G39" s="32" t="s">
        <v>1736</v>
      </c>
      <c r="H39" s="32" t="s">
        <v>166</v>
      </c>
      <c r="I39" s="32" t="s">
        <v>1737</v>
      </c>
    </row>
    <row r="40" customFormat="false" ht="60" hidden="false" customHeight="true" outlineLevel="0" collapsed="false">
      <c r="A40" s="41" t="s">
        <v>1738</v>
      </c>
      <c r="B40" s="32" t="s">
        <v>1739</v>
      </c>
      <c r="C40" s="32" t="s">
        <v>1740</v>
      </c>
      <c r="D40" s="32" t="s">
        <v>1492</v>
      </c>
      <c r="E40" s="32" t="s">
        <v>731</v>
      </c>
      <c r="F40" s="32" t="s">
        <v>732</v>
      </c>
      <c r="G40" s="32" t="s">
        <v>733</v>
      </c>
      <c r="H40" s="35" t="s">
        <v>152</v>
      </c>
      <c r="I40" s="32" t="s">
        <v>734</v>
      </c>
    </row>
    <row r="41" customFormat="false" ht="60" hidden="false" customHeight="true" outlineLevel="0" collapsed="false">
      <c r="A41" s="41" t="s">
        <v>1738</v>
      </c>
      <c r="B41" s="32" t="s">
        <v>1741</v>
      </c>
      <c r="C41" s="32" t="s">
        <v>1742</v>
      </c>
      <c r="D41" s="32" t="s">
        <v>1743</v>
      </c>
      <c r="E41" s="32" t="s">
        <v>415</v>
      </c>
      <c r="F41" s="32" t="s">
        <v>416</v>
      </c>
      <c r="G41" s="32" t="s">
        <v>417</v>
      </c>
      <c r="H41" s="35" t="s">
        <v>152</v>
      </c>
      <c r="I41" s="32" t="s">
        <v>418</v>
      </c>
    </row>
    <row r="42" customFormat="false" ht="60" hidden="false" customHeight="true" outlineLevel="0" collapsed="false">
      <c r="A42" s="41" t="s">
        <v>1738</v>
      </c>
      <c r="B42" s="32" t="s">
        <v>420</v>
      </c>
      <c r="C42" s="32" t="s">
        <v>1744</v>
      </c>
      <c r="D42" s="32" t="s">
        <v>1492</v>
      </c>
      <c r="E42" s="32" t="s">
        <v>421</v>
      </c>
      <c r="F42" s="32" t="s">
        <v>422</v>
      </c>
      <c r="G42" s="32" t="s">
        <v>423</v>
      </c>
      <c r="H42" s="32" t="s">
        <v>1700</v>
      </c>
      <c r="I42" s="32" t="s">
        <v>424</v>
      </c>
    </row>
    <row r="43" customFormat="false" ht="60" hidden="false" customHeight="true" outlineLevel="0" collapsed="false">
      <c r="A43" s="41" t="s">
        <v>1738</v>
      </c>
      <c r="B43" s="32" t="s">
        <v>426</v>
      </c>
      <c r="C43" s="32" t="s">
        <v>1745</v>
      </c>
      <c r="D43" s="32" t="s">
        <v>1693</v>
      </c>
      <c r="E43" s="32" t="s">
        <v>429</v>
      </c>
      <c r="F43" s="32" t="s">
        <v>430</v>
      </c>
      <c r="G43" s="32" t="s">
        <v>431</v>
      </c>
      <c r="H43" s="35" t="s">
        <v>152</v>
      </c>
      <c r="I43" s="32" t="s">
        <v>432</v>
      </c>
    </row>
    <row r="44" customFormat="false" ht="60" hidden="false" customHeight="true" outlineLevel="0" collapsed="false">
      <c r="A44" s="41" t="s">
        <v>1738</v>
      </c>
      <c r="B44" s="32" t="s">
        <v>735</v>
      </c>
      <c r="C44" s="32" t="s">
        <v>1746</v>
      </c>
      <c r="D44" s="32" t="s">
        <v>1492</v>
      </c>
      <c r="E44" s="32" t="s">
        <v>737</v>
      </c>
      <c r="F44" s="32" t="s">
        <v>738</v>
      </c>
      <c r="G44" s="32" t="s">
        <v>739</v>
      </c>
      <c r="H44" s="32" t="s">
        <v>1747</v>
      </c>
      <c r="I44" s="32" t="s">
        <v>740</v>
      </c>
    </row>
  </sheetData>
  <autoFilter ref="A4:I44"/>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24"/>
    <col collapsed="false" customWidth="true" hidden="false" outlineLevel="0" max="4" min="4" style="0" width="46"/>
    <col collapsed="false" customWidth="true" hidden="false" outlineLevel="0" max="5" min="5" style="0" width="42"/>
    <col collapsed="false" customWidth="true" hidden="false" outlineLevel="0" max="6" min="6" style="0" width="10"/>
    <col collapsed="false" customWidth="true" hidden="false" outlineLevel="0" max="7" min="7" style="0" width="26"/>
  </cols>
  <sheetData>
    <row r="1" customFormat="false" ht="19.7" hidden="false" customHeight="false" outlineLevel="0" collapsed="false">
      <c r="A1" s="29" t="s">
        <v>1748</v>
      </c>
      <c r="B1" s="29"/>
      <c r="C1" s="29"/>
      <c r="D1" s="29"/>
      <c r="E1" s="29"/>
      <c r="F1" s="29"/>
      <c r="G1" s="29"/>
    </row>
    <row r="3" customFormat="false" ht="15" hidden="false" customHeight="false" outlineLevel="0" collapsed="false">
      <c r="A3" s="30" t="s">
        <v>61</v>
      </c>
      <c r="B3" s="30" t="s">
        <v>1749</v>
      </c>
      <c r="C3" s="30" t="s">
        <v>1672</v>
      </c>
      <c r="D3" s="30" t="s">
        <v>72</v>
      </c>
      <c r="E3" s="30" t="s">
        <v>73</v>
      </c>
      <c r="F3" s="30" t="s">
        <v>74</v>
      </c>
      <c r="G3" s="30" t="s">
        <v>76</v>
      </c>
    </row>
    <row r="4" customFormat="false" ht="60" hidden="false" customHeight="true" outlineLevel="0" collapsed="false">
      <c r="A4" s="32" t="s">
        <v>1075</v>
      </c>
      <c r="B4" s="32" t="s">
        <v>1077</v>
      </c>
      <c r="C4" s="32" t="s">
        <v>1750</v>
      </c>
      <c r="D4" s="32" t="s">
        <v>1078</v>
      </c>
      <c r="E4" s="32" t="s">
        <v>1079</v>
      </c>
      <c r="F4" s="33" t="s">
        <v>91</v>
      </c>
      <c r="G4" s="32" t="s">
        <v>1080</v>
      </c>
    </row>
    <row r="5" customFormat="false" ht="60" hidden="false" customHeight="true" outlineLevel="0" collapsed="false">
      <c r="A5" s="32" t="s">
        <v>1081</v>
      </c>
      <c r="B5" s="32" t="s">
        <v>1077</v>
      </c>
      <c r="C5" s="32" t="s">
        <v>1751</v>
      </c>
      <c r="D5" s="32" t="s">
        <v>1082</v>
      </c>
      <c r="E5" s="32" t="s">
        <v>1083</v>
      </c>
      <c r="F5" s="33" t="s">
        <v>91</v>
      </c>
      <c r="G5" s="32" t="s">
        <v>1084</v>
      </c>
    </row>
    <row r="6" customFormat="false" ht="60" hidden="false" customHeight="true" outlineLevel="0" collapsed="false">
      <c r="A6" s="32" t="s">
        <v>1090</v>
      </c>
      <c r="B6" s="32" t="s">
        <v>1077</v>
      </c>
      <c r="C6" s="32" t="s">
        <v>1752</v>
      </c>
      <c r="D6" s="32" t="s">
        <v>1091</v>
      </c>
      <c r="E6" s="32" t="s">
        <v>1092</v>
      </c>
      <c r="F6" s="35" t="s">
        <v>152</v>
      </c>
      <c r="G6" s="32" t="s">
        <v>1093</v>
      </c>
    </row>
    <row r="7" customFormat="false" ht="60" hidden="false" customHeight="true" outlineLevel="0" collapsed="false">
      <c r="A7" s="32" t="s">
        <v>1094</v>
      </c>
      <c r="B7" s="32" t="s">
        <v>1077</v>
      </c>
      <c r="C7" s="32" t="s">
        <v>1753</v>
      </c>
      <c r="D7" s="32" t="s">
        <v>1096</v>
      </c>
      <c r="E7" s="32" t="s">
        <v>1097</v>
      </c>
      <c r="F7" s="35" t="s">
        <v>152</v>
      </c>
      <c r="G7" s="32" t="s">
        <v>1098</v>
      </c>
    </row>
    <row r="8" customFormat="false" ht="60" hidden="false" customHeight="true" outlineLevel="0" collapsed="false">
      <c r="A8" s="32" t="s">
        <v>1099</v>
      </c>
      <c r="B8" s="32" t="s">
        <v>1077</v>
      </c>
      <c r="C8" s="32" t="s">
        <v>1754</v>
      </c>
      <c r="D8" s="32" t="s">
        <v>1101</v>
      </c>
      <c r="E8" s="32" t="s">
        <v>1102</v>
      </c>
      <c r="F8" s="35" t="s">
        <v>152</v>
      </c>
      <c r="G8" s="32" t="s">
        <v>1103</v>
      </c>
    </row>
    <row r="9" customFormat="false" ht="60" hidden="false" customHeight="true" outlineLevel="0" collapsed="false">
      <c r="A9" s="32" t="s">
        <v>1085</v>
      </c>
      <c r="B9" s="32" t="s">
        <v>1086</v>
      </c>
      <c r="C9" s="32" t="s">
        <v>1755</v>
      </c>
      <c r="D9" s="32" t="s">
        <v>1087</v>
      </c>
      <c r="E9" s="32" t="s">
        <v>1088</v>
      </c>
      <c r="F9" s="33" t="s">
        <v>91</v>
      </c>
      <c r="G9" s="32" t="s">
        <v>1089</v>
      </c>
    </row>
    <row r="10" customFormat="false" ht="60" hidden="false" customHeight="true" outlineLevel="0" collapsed="false">
      <c r="A10" s="32" t="s">
        <v>1104</v>
      </c>
      <c r="B10" s="32" t="s">
        <v>1086</v>
      </c>
      <c r="C10" s="32" t="s">
        <v>1756</v>
      </c>
      <c r="D10" s="32" t="s">
        <v>1106</v>
      </c>
      <c r="E10" s="32" t="s">
        <v>1107</v>
      </c>
      <c r="F10" s="35" t="s">
        <v>152</v>
      </c>
      <c r="G10" s="32" t="s">
        <v>1108</v>
      </c>
    </row>
    <row r="11" customFormat="false" ht="60" hidden="false" customHeight="true" outlineLevel="0" collapsed="false">
      <c r="A11" s="32" t="s">
        <v>1757</v>
      </c>
      <c r="B11" s="32" t="s">
        <v>1086</v>
      </c>
      <c r="C11" s="32" t="s">
        <v>1756</v>
      </c>
      <c r="D11" s="32" t="s">
        <v>1758</v>
      </c>
      <c r="E11" s="32" t="s">
        <v>1759</v>
      </c>
      <c r="F11" s="35" t="s">
        <v>186</v>
      </c>
      <c r="G11" s="32" t="s">
        <v>1108</v>
      </c>
    </row>
    <row r="12" customFormat="false" ht="60" hidden="false" customHeight="true" outlineLevel="0" collapsed="false">
      <c r="A12" s="32" t="s">
        <v>1016</v>
      </c>
      <c r="B12" s="32" t="s">
        <v>1018</v>
      </c>
      <c r="C12" s="32" t="s">
        <v>1760</v>
      </c>
      <c r="D12" s="32" t="s">
        <v>1019</v>
      </c>
      <c r="E12" s="32" t="s">
        <v>1020</v>
      </c>
      <c r="F12" s="33" t="s">
        <v>91</v>
      </c>
      <c r="G12" s="32" t="s">
        <v>1021</v>
      </c>
    </row>
    <row r="13" customFormat="false" ht="60" hidden="false" customHeight="true" outlineLevel="0" collapsed="false">
      <c r="A13" s="32" t="s">
        <v>1022</v>
      </c>
      <c r="B13" s="32" t="s">
        <v>1018</v>
      </c>
      <c r="C13" s="32" t="s">
        <v>1761</v>
      </c>
      <c r="D13" s="32" t="s">
        <v>1023</v>
      </c>
      <c r="E13" s="32" t="s">
        <v>1024</v>
      </c>
      <c r="F13" s="33" t="s">
        <v>91</v>
      </c>
      <c r="G13" s="32" t="s">
        <v>276</v>
      </c>
    </row>
    <row r="14" customFormat="false" ht="60" hidden="false" customHeight="true" outlineLevel="0" collapsed="false">
      <c r="A14" s="32" t="s">
        <v>1025</v>
      </c>
      <c r="B14" s="32" t="s">
        <v>1018</v>
      </c>
      <c r="C14" s="32" t="s">
        <v>1762</v>
      </c>
      <c r="D14" s="32" t="s">
        <v>1026</v>
      </c>
      <c r="E14" s="32" t="s">
        <v>1027</v>
      </c>
      <c r="F14" s="35" t="s">
        <v>152</v>
      </c>
      <c r="G14" s="32" t="s">
        <v>276</v>
      </c>
    </row>
    <row r="15" customFormat="false" ht="60" hidden="false" customHeight="true" outlineLevel="0" collapsed="false">
      <c r="A15" s="32" t="s">
        <v>1028</v>
      </c>
      <c r="B15" s="32" t="s">
        <v>1018</v>
      </c>
      <c r="C15" s="32" t="s">
        <v>1763</v>
      </c>
      <c r="D15" s="32" t="s">
        <v>1029</v>
      </c>
      <c r="E15" s="32" t="s">
        <v>1030</v>
      </c>
      <c r="F15" s="35" t="s">
        <v>152</v>
      </c>
      <c r="G15" s="32" t="s">
        <v>276</v>
      </c>
    </row>
    <row r="16" customFormat="false" ht="60" hidden="false" customHeight="true" outlineLevel="0" collapsed="false">
      <c r="A16" s="32" t="s">
        <v>1031</v>
      </c>
      <c r="B16" s="32" t="s">
        <v>1018</v>
      </c>
      <c r="C16" s="32" t="s">
        <v>1493</v>
      </c>
      <c r="D16" s="32" t="s">
        <v>1032</v>
      </c>
      <c r="E16" s="32" t="s">
        <v>1033</v>
      </c>
      <c r="F16" s="35" t="s">
        <v>152</v>
      </c>
      <c r="G16" s="32" t="s">
        <v>276</v>
      </c>
    </row>
    <row r="17" customFormat="false" ht="60" hidden="false" customHeight="true" outlineLevel="0" collapsed="false">
      <c r="A17" s="32" t="s">
        <v>1764</v>
      </c>
      <c r="B17" s="32" t="s">
        <v>1765</v>
      </c>
      <c r="C17" s="32" t="s">
        <v>1766</v>
      </c>
      <c r="D17" s="32" t="s">
        <v>1767</v>
      </c>
      <c r="E17" s="32" t="s">
        <v>1768</v>
      </c>
      <c r="F17" s="42" t="s">
        <v>1769</v>
      </c>
      <c r="G17" s="32" t="s">
        <v>1770</v>
      </c>
    </row>
  </sheetData>
  <autoFilter ref="A3:G17"/>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24"/>
    <col collapsed="false" customWidth="true" hidden="false" outlineLevel="0" max="4" min="4" style="0" width="42"/>
    <col collapsed="false" customWidth="true" hidden="false" outlineLevel="0" max="5" min="5" style="0" width="40"/>
    <col collapsed="false" customWidth="true" hidden="false" outlineLevel="0" max="6" min="6" style="0" width="10"/>
    <col collapsed="false" customWidth="true" hidden="false" outlineLevel="0" max="7" min="7" style="0" width="22"/>
  </cols>
  <sheetData>
    <row r="1" customFormat="false" ht="19.7" hidden="false" customHeight="false" outlineLevel="0" collapsed="false">
      <c r="A1" s="29" t="s">
        <v>1771</v>
      </c>
      <c r="B1" s="29"/>
      <c r="C1" s="29"/>
      <c r="D1" s="29"/>
      <c r="E1" s="29"/>
      <c r="F1" s="29"/>
      <c r="G1" s="29"/>
    </row>
    <row r="3" customFormat="false" ht="15" hidden="false" customHeight="false" outlineLevel="0" collapsed="false">
      <c r="A3" s="30" t="s">
        <v>61</v>
      </c>
      <c r="B3" s="30" t="s">
        <v>1749</v>
      </c>
      <c r="C3" s="30" t="s">
        <v>1672</v>
      </c>
      <c r="D3" s="30" t="s">
        <v>72</v>
      </c>
      <c r="E3" s="30" t="s">
        <v>73</v>
      </c>
      <c r="F3" s="30" t="s">
        <v>74</v>
      </c>
      <c r="G3" s="30" t="s">
        <v>76</v>
      </c>
    </row>
    <row r="4" customFormat="false" ht="60" hidden="false" customHeight="true" outlineLevel="0" collapsed="false">
      <c r="A4" s="32" t="s">
        <v>297</v>
      </c>
      <c r="B4" s="32" t="s">
        <v>1772</v>
      </c>
      <c r="C4" s="32" t="s">
        <v>1773</v>
      </c>
      <c r="D4" s="32" t="s">
        <v>300</v>
      </c>
      <c r="E4" s="32" t="s">
        <v>301</v>
      </c>
      <c r="F4" s="33" t="s">
        <v>91</v>
      </c>
      <c r="G4" s="32" t="s">
        <v>302</v>
      </c>
    </row>
    <row r="5" customFormat="false" ht="60" hidden="false" customHeight="true" outlineLevel="0" collapsed="false">
      <c r="A5" s="32" t="s">
        <v>1774</v>
      </c>
      <c r="B5" s="32" t="s">
        <v>1775</v>
      </c>
      <c r="C5" s="32" t="s">
        <v>1776</v>
      </c>
      <c r="D5" s="32" t="s">
        <v>1777</v>
      </c>
      <c r="E5" s="32" t="s">
        <v>1778</v>
      </c>
      <c r="F5" s="33" t="s">
        <v>91</v>
      </c>
      <c r="G5" s="32" t="s">
        <v>1779</v>
      </c>
    </row>
    <row r="6" customFormat="false" ht="60" hidden="false" customHeight="true" outlineLevel="0" collapsed="false">
      <c r="A6" s="32" t="s">
        <v>1780</v>
      </c>
      <c r="B6" s="32" t="s">
        <v>1702</v>
      </c>
      <c r="C6" s="32" t="s">
        <v>1781</v>
      </c>
      <c r="D6" s="32" t="s">
        <v>1782</v>
      </c>
      <c r="E6" s="32" t="s">
        <v>1783</v>
      </c>
      <c r="F6" s="33" t="s">
        <v>91</v>
      </c>
      <c r="G6" s="32" t="s">
        <v>1784</v>
      </c>
    </row>
    <row r="7" customFormat="false" ht="60" hidden="false" customHeight="true" outlineLevel="0" collapsed="false">
      <c r="A7" s="32" t="s">
        <v>700</v>
      </c>
      <c r="B7" s="32" t="s">
        <v>1785</v>
      </c>
      <c r="C7" s="32" t="s">
        <v>1492</v>
      </c>
      <c r="D7" s="32" t="s">
        <v>703</v>
      </c>
      <c r="E7" s="32" t="s">
        <v>704</v>
      </c>
      <c r="F7" s="35" t="s">
        <v>152</v>
      </c>
      <c r="G7" s="32" t="s">
        <v>550</v>
      </c>
    </row>
    <row r="8" customFormat="false" ht="60" hidden="false" customHeight="true" outlineLevel="0" collapsed="false">
      <c r="A8" s="32" t="s">
        <v>741</v>
      </c>
      <c r="B8" s="32" t="s">
        <v>1786</v>
      </c>
      <c r="C8" s="32" t="s">
        <v>1492</v>
      </c>
      <c r="D8" s="32" t="s">
        <v>743</v>
      </c>
      <c r="E8" s="32" t="s">
        <v>744</v>
      </c>
      <c r="F8" s="35" t="s">
        <v>152</v>
      </c>
      <c r="G8" s="32" t="s">
        <v>550</v>
      </c>
    </row>
    <row r="9" customFormat="false" ht="60" hidden="false" customHeight="true" outlineLevel="0" collapsed="false">
      <c r="A9" s="32" t="s">
        <v>578</v>
      </c>
      <c r="B9" s="32" t="s">
        <v>1718</v>
      </c>
      <c r="C9" s="32" t="s">
        <v>1492</v>
      </c>
      <c r="D9" s="32" t="s">
        <v>580</v>
      </c>
      <c r="E9" s="32" t="s">
        <v>581</v>
      </c>
      <c r="F9" s="35" t="s">
        <v>152</v>
      </c>
      <c r="G9" s="32" t="s">
        <v>582</v>
      </c>
    </row>
    <row r="10" customFormat="false" ht="60" hidden="false" customHeight="true" outlineLevel="0" collapsed="false">
      <c r="A10" s="32" t="s">
        <v>902</v>
      </c>
      <c r="B10" s="32" t="s">
        <v>1787</v>
      </c>
      <c r="C10" s="32" t="s">
        <v>1788</v>
      </c>
      <c r="D10" s="32" t="s">
        <v>904</v>
      </c>
      <c r="E10" s="32" t="s">
        <v>905</v>
      </c>
      <c r="F10" s="33" t="s">
        <v>91</v>
      </c>
      <c r="G10" s="32" t="s">
        <v>582</v>
      </c>
    </row>
    <row r="11" customFormat="false" ht="60" hidden="false" customHeight="true" outlineLevel="0" collapsed="false">
      <c r="A11" s="32" t="s">
        <v>931</v>
      </c>
      <c r="B11" s="32" t="s">
        <v>1787</v>
      </c>
      <c r="C11" s="32" t="s">
        <v>1492</v>
      </c>
      <c r="D11" s="32" t="s">
        <v>932</v>
      </c>
      <c r="E11" s="32" t="s">
        <v>933</v>
      </c>
      <c r="F11" s="35" t="s">
        <v>152</v>
      </c>
      <c r="G11" s="32" t="s">
        <v>582</v>
      </c>
    </row>
    <row r="12" customFormat="false" ht="60" hidden="false" customHeight="true" outlineLevel="0" collapsed="false">
      <c r="A12" s="32" t="s">
        <v>583</v>
      </c>
      <c r="B12" s="32" t="s">
        <v>584</v>
      </c>
      <c r="C12" s="32" t="s">
        <v>1789</v>
      </c>
      <c r="D12" s="32" t="s">
        <v>585</v>
      </c>
      <c r="E12" s="32" t="s">
        <v>586</v>
      </c>
      <c r="F12" s="35" t="s">
        <v>152</v>
      </c>
      <c r="G12" s="32" t="s">
        <v>550</v>
      </c>
    </row>
    <row r="13" customFormat="false" ht="60" hidden="false" customHeight="true" outlineLevel="0" collapsed="false">
      <c r="A13" s="32" t="s">
        <v>540</v>
      </c>
      <c r="B13" s="32" t="s">
        <v>542</v>
      </c>
      <c r="C13" s="32" t="s">
        <v>1492</v>
      </c>
      <c r="D13" s="32" t="s">
        <v>543</v>
      </c>
      <c r="E13" s="32" t="s">
        <v>544</v>
      </c>
      <c r="F13" s="33" t="s">
        <v>91</v>
      </c>
      <c r="G13" s="32" t="s">
        <v>276</v>
      </c>
    </row>
    <row r="14" customFormat="false" ht="60" hidden="false" customHeight="true" outlineLevel="0" collapsed="false">
      <c r="A14" s="32" t="s">
        <v>1176</v>
      </c>
      <c r="B14" s="32" t="s">
        <v>1177</v>
      </c>
      <c r="C14" s="32" t="s">
        <v>1790</v>
      </c>
      <c r="D14" s="32" t="s">
        <v>1178</v>
      </c>
      <c r="E14" s="32" t="s">
        <v>1179</v>
      </c>
      <c r="F14" s="35" t="s">
        <v>186</v>
      </c>
      <c r="G14" s="32" t="s">
        <v>1180</v>
      </c>
    </row>
    <row r="15" customFormat="false" ht="60" hidden="false" customHeight="true" outlineLevel="0" collapsed="false">
      <c r="A15" s="32" t="s">
        <v>1199</v>
      </c>
      <c r="B15" s="32" t="s">
        <v>1201</v>
      </c>
      <c r="C15" s="32" t="s">
        <v>1492</v>
      </c>
      <c r="D15" s="32" t="s">
        <v>1202</v>
      </c>
      <c r="E15" s="32" t="s">
        <v>1203</v>
      </c>
      <c r="F15" s="35" t="s">
        <v>186</v>
      </c>
      <c r="G15" s="32" t="s">
        <v>550</v>
      </c>
    </row>
    <row r="16" customFormat="false" ht="60" hidden="false" customHeight="true" outlineLevel="0" collapsed="false">
      <c r="A16" s="32" t="s">
        <v>1208</v>
      </c>
      <c r="B16" s="32" t="s">
        <v>1209</v>
      </c>
      <c r="C16" s="32" t="s">
        <v>1791</v>
      </c>
      <c r="D16" s="32" t="s">
        <v>1210</v>
      </c>
      <c r="E16" s="32" t="s">
        <v>1211</v>
      </c>
      <c r="F16" s="43" t="s">
        <v>193</v>
      </c>
      <c r="G16" s="32" t="s">
        <v>1212</v>
      </c>
    </row>
    <row r="17" customFormat="false" ht="60" hidden="false" customHeight="true" outlineLevel="0" collapsed="false">
      <c r="A17" s="32" t="s">
        <v>1171</v>
      </c>
      <c r="B17" s="32" t="s">
        <v>1173</v>
      </c>
      <c r="C17" s="32" t="s">
        <v>1492</v>
      </c>
      <c r="D17" s="32" t="s">
        <v>1174</v>
      </c>
      <c r="E17" s="32" t="s">
        <v>1175</v>
      </c>
      <c r="F17" s="35" t="s">
        <v>152</v>
      </c>
      <c r="G17" s="32" t="s">
        <v>582</v>
      </c>
    </row>
  </sheetData>
  <autoFilter ref="A3:G17"/>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2026-10-07T17:58:53Z</dcterms:created>
  <dc:creator>openpyxl</dc:creator>
  <dc:description/>
  <dc:language>en-US</dc:language>
  <cp:lastModifiedBy/>
  <dcterms:modified xsi:type="dcterms:W3CDTF">2026-10-08T04:23:56Z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